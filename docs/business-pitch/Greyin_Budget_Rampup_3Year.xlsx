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ssumptions" sheetId="2" r:id="rId2"/>
    <sheet name="Budget - On-site" sheetId="3" r:id="rId3"/>
    <sheet name="Budget - Remote" sheetId="4" r:id="rId4"/>
    <sheet name="Budget - Hybri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Data>
    <row r="1">
      <c r="A1" t="str">
        <v>Greyin — Budget Summary (3-Year Ramp-up: 0 to 100K Users)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Milestone</v>
      </c>
      <c r="B3" t="str">
        <v>Users</v>
      </c>
      <c r="C3" t="str">
        <v>On-site (Monthly, USD)</v>
      </c>
      <c r="D3" t="str">
        <v>Remote (Monthly, USD)</v>
      </c>
      <c r="E3" t="str">
        <v>Hybrid (Monthly, USD)</v>
      </c>
      <c r="F3" t="str">
        <v>3-Year Total (On-site, USD, step-function approx.)</v>
      </c>
      <c r="G3" t="str">
        <v>On-site (Monthly, INR)</v>
      </c>
      <c r="H3" t="str">
        <v>Remote (Monthly, INR)</v>
      </c>
      <c r="I3" t="str">
        <v>Hybrid (Monthly, INR)</v>
      </c>
      <c r="J3" t="str">
        <v>3-Year Total (On-site, INR)</v>
      </c>
    </row>
    <row r="4">
      <c r="A4" t="str">
        <v>Month 1</v>
      </c>
      <c r="B4">
        <v>100</v>
      </c>
      <c r="C4">
        <f>'Budget - On-site'!E36</f>
        <v>10091.498147167815</v>
      </c>
      <c r="D4">
        <f>'Budget - Remote'!E36</f>
        <v>7691.498147167814</v>
      </c>
      <c r="E4">
        <f>'Budget - Hybrid'!E36</f>
        <v>8591.498147167815</v>
      </c>
      <c r="F4">
        <f>C4*5</f>
        <v>50457.49073583908</v>
      </c>
      <c r="G4">
        <f>C4*Assumptions!$B$4</f>
        <v>953142.0000000001</v>
      </c>
      <c r="H4">
        <f>D4*Assumptions!$B$4</f>
        <v>726462</v>
      </c>
      <c r="I4">
        <f>E4*Assumptions!$B$4</f>
        <v>811467.0000000001</v>
      </c>
      <c r="J4">
        <f>F4*Assumptions!$B$4</f>
        <v>4765710.000000001</v>
      </c>
    </row>
    <row r="5">
      <c r="A5" t="str">
        <v>Month 6</v>
      </c>
      <c r="B5">
        <v>1000</v>
      </c>
      <c r="C5">
        <f>'Budget - On-site'!E74</f>
        <v>14008.086289041821</v>
      </c>
      <c r="D5">
        <f>'Budget - Remote'!E74</f>
        <v>11908.086289041821</v>
      </c>
      <c r="E5">
        <f>'Budget - Hybrid'!E74</f>
        <v>12508.086289041821</v>
      </c>
      <c r="F5">
        <f>C5*6</f>
        <v>84048.51773425093</v>
      </c>
      <c r="G5">
        <f>C5*Assumptions!$B$4</f>
        <v>1323063.75</v>
      </c>
      <c r="H5">
        <f>D5*Assumptions!$B$4</f>
        <v>1124718.75</v>
      </c>
      <c r="I5">
        <f>E5*Assumptions!$B$4</f>
        <v>1181388.75</v>
      </c>
      <c r="J5">
        <f>F5*Assumptions!$B$4</f>
        <v>7938382.5</v>
      </c>
    </row>
    <row r="6">
      <c r="A6" t="str">
        <v>Month 12</v>
      </c>
      <c r="B6">
        <v>5000</v>
      </c>
      <c r="C6">
        <f>'Budget - On-site'!E113</f>
        <v>27160.93382742192</v>
      </c>
      <c r="D6">
        <f>'Budget - Remote'!E113</f>
        <v>25960.93382742192</v>
      </c>
      <c r="E6">
        <f>'Budget - Hybrid'!E113</f>
        <v>25660.93382742192</v>
      </c>
      <c r="F6">
        <f>C6*6</f>
        <v>162965.6029645315</v>
      </c>
      <c r="G6">
        <f>C6*Assumptions!$B$4</f>
        <v>2565350.2</v>
      </c>
      <c r="H6">
        <f>D6*Assumptions!$B$4</f>
        <v>2452010.2</v>
      </c>
      <c r="I6">
        <f>E6*Assumptions!$B$4</f>
        <v>2423675.2</v>
      </c>
      <c r="J6">
        <f>F6*Assumptions!$B$4</f>
        <v>15392101.200000001</v>
      </c>
    </row>
    <row r="7">
      <c r="A7" t="str">
        <v>Month 18</v>
      </c>
      <c r="B7">
        <v>10000</v>
      </c>
      <c r="C7">
        <f>'Budget - On-site'!E154</f>
        <v>34126.11011116993</v>
      </c>
      <c r="D7">
        <f>'Budget - Remote'!E154</f>
        <v>33526.11011116993</v>
      </c>
      <c r="E7">
        <f>'Budget - Hybrid'!E154</f>
        <v>32626.11011116993</v>
      </c>
      <c r="F7">
        <f>C7*6</f>
        <v>204756.6606670196</v>
      </c>
      <c r="G7">
        <f>C7*Assumptions!$B$4</f>
        <v>3223211.1</v>
      </c>
      <c r="H7">
        <f>D7*Assumptions!$B$4</f>
        <v>3166541.1</v>
      </c>
      <c r="I7">
        <f>E7*Assumptions!$B$4</f>
        <v>3081536.1</v>
      </c>
      <c r="J7">
        <f>F7*Assumptions!$B$4</f>
        <v>19339266.6</v>
      </c>
    </row>
    <row r="8">
      <c r="A8" t="str">
        <v>Month 24</v>
      </c>
      <c r="B8">
        <v>25000</v>
      </c>
      <c r="C8">
        <f>'Budget - On-site'!E196</f>
        <v>61583.139227104286</v>
      </c>
      <c r="D8">
        <f>'Budget - Remote'!E196</f>
        <v>62183.139227104286</v>
      </c>
      <c r="E8">
        <f>'Budget - Hybrid'!E196</f>
        <v>60083.139227104286</v>
      </c>
      <c r="F8">
        <f>C8*6</f>
        <v>369498.8353626257</v>
      </c>
      <c r="G8">
        <f>C8*Assumptions!$B$4</f>
        <v>5816527.5</v>
      </c>
      <c r="H8">
        <f>D8*Assumptions!$B$4</f>
        <v>5873197.5</v>
      </c>
      <c r="I8">
        <f>E8*Assumptions!$B$4</f>
        <v>5674852.5</v>
      </c>
      <c r="J8">
        <f>F8*Assumptions!$B$4</f>
        <v>34899165</v>
      </c>
    </row>
    <row r="9">
      <c r="A9" t="str">
        <v>Month 30</v>
      </c>
      <c r="B9">
        <v>50000</v>
      </c>
      <c r="C9">
        <f>'Budget - On-site'!E239</f>
        <v>80153.33615669666</v>
      </c>
      <c r="D9">
        <f>'Budget - Remote'!E239</f>
        <v>82353.33615669666</v>
      </c>
      <c r="E9">
        <f>'Budget - Hybrid'!E239</f>
        <v>78653.33615669666</v>
      </c>
      <c r="F9">
        <f>C9*6</f>
        <v>480920.01694018</v>
      </c>
      <c r="G9">
        <f>C9*Assumptions!$B$4</f>
        <v>7570482.6</v>
      </c>
      <c r="H9">
        <f>D9*Assumptions!$B$4</f>
        <v>7778272.6</v>
      </c>
      <c r="I9">
        <f>E9*Assumptions!$B$4</f>
        <v>7428807.6</v>
      </c>
      <c r="J9">
        <f>F9*Assumptions!$B$4</f>
        <v>45422895.6</v>
      </c>
    </row>
    <row r="10">
      <c r="A10" t="str">
        <v>Month 36</v>
      </c>
      <c r="B10">
        <v>100000</v>
      </c>
      <c r="C10">
        <f>'Budget - On-site'!E283</f>
        <v>123889.70778189518</v>
      </c>
      <c r="D10">
        <f>'Budget - Remote'!E283</f>
        <v>128089.70778189518</v>
      </c>
      <c r="E10">
        <f>'Budget - Hybrid'!E283</f>
        <v>122389.70778189518</v>
      </c>
      <c r="F10">
        <f>C10*1</f>
        <v>123889.70778189518</v>
      </c>
      <c r="G10">
        <f>C10*Assumptions!$B$4</f>
        <v>11701382.9</v>
      </c>
      <c r="H10">
        <f>D10*Assumptions!$B$4</f>
        <v>12098072.9</v>
      </c>
      <c r="I10">
        <f>E10*Assumptions!$B$4</f>
        <v>11559707.9</v>
      </c>
      <c r="J10">
        <f>F10*Assumptions!$B$4</f>
        <v>11701382.9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Key Assumptions: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AWS Region:</v>
      </c>
      <c r="B14" t="str">
        <v>US-East-1 (primary), multi-region ready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Database:</v>
      </c>
      <c r="B15" t="str">
        <v>PostgreSQL (self-hosted + RDS backups)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>India Team:</v>
      </c>
      <c r="B16" t="str">
        <v>Bangalore-based, full-time employment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Salary Base:</v>
      </c>
      <c r="B17" t="str">
        <v>See the Assumptions sheet — product-company-tier 2026 Bangalore rates, editable there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Customer Acquisition:</v>
      </c>
      <c r="B18" t="str">
        <v>Net-new users/mo (from this model's own growth curve) × blended CAC by year — see the Assumptions sheet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Growth Rate:</v>
      </c>
      <c r="B19" t="str">
        <v>Linear between milestones (3-Year Total is a step-function approximation, not a continuous integral)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Contingency:</v>
      </c>
      <c r="B20" t="str">
        <v>Not included; add 15-20% for buffer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>Exchange Rate:</v>
      </c>
      <c r="B21" t="str">
        <v>See the Assumptions sheet (live-linked, editable there)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Budget Scenario Comparison (36-Month Total):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On-site (Bangalore office)</v>
      </c>
      <c r="B25" t="str">
        <v>Highest cost; best for mentorship &amp; culture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Remote (Distributed team)</v>
      </c>
      <c r="B26" t="str">
        <v>Lowest cost; requires strong async culture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>Hybrid (2-3 days/week)</v>
      </c>
      <c r="B27" t="str">
        <v>Balanced; moderate cost + collaboration</v>
      </c>
      <c r="C27" t="str">
        <v/>
      </c>
      <c r="D27" t="str">
        <v/>
      </c>
      <c r="E27" t="str">
        <v/>
      </c>
      <c r="F27" t="str">
        <v/>
      </c>
    </row>
  </sheetData>
  <ignoredErrors>
    <ignoredError numberStoredAsText="1" sqref="A1:J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Greyin — Cost Model Assumptions</v>
      </c>
      <c r="B1" t="str">
        <v/>
      </c>
      <c r="C1" t="str">
        <v/>
      </c>
    </row>
    <row r="2">
      <c r="A2" t="str">
        <v>Change the sections below to update every dollar figure in every Budget/Summary sheet — nothing else in this workbook needs manual editing.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Exchange Rate (INR per 1 USD)</v>
      </c>
      <c r="B4">
        <v>94.45</v>
      </c>
      <c r="C4" t="str">
        <v>Verified current rate; update this cell whenever it moves. Source: bookmyforex.com / exchangerates.org.uk, Sept 2026.</v>
      </c>
    </row>
    <row r="5">
      <c r="A5" t="str">
        <v>Last verified</v>
      </c>
      <c r="B5" t="str">
        <v>2026-09-08</v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>Monthly Salary Base (INR) — India, product-company tier</v>
      </c>
      <c r="B7" t="str">
        <v/>
      </c>
      <c r="C7" t="str">
        <v/>
      </c>
    </row>
    <row r="8">
      <c r="A8" t="str">
        <v>Role</v>
      </c>
      <c r="B8" t="str">
        <v>Monthly INR</v>
      </c>
      <c r="C8" t="str">
        <v>Note (real 2026 Bangalore product-company range, and why this point was chosen)</v>
      </c>
    </row>
    <row r="9">
      <c r="A9" t="str">
        <v>Junior Dev</v>
      </c>
      <c r="B9">
        <v>83333</v>
      </c>
      <c r="C9" t="str">
        <v>Real market: ₹8-15L/yr (product cos.). Chosen: ₹10L/yr, low end -- early-stage.</v>
      </c>
    </row>
    <row r="10">
      <c r="A10" t="str">
        <v>Mid-level Dev</v>
      </c>
      <c r="B10">
        <v>183333</v>
      </c>
      <c r="C10" t="str">
        <v>Real market: ₹18-30L/yr. Chosen: ₹22L/yr.</v>
      </c>
    </row>
    <row r="11">
      <c r="A11" t="str">
        <v>Senior Dev</v>
      </c>
      <c r="B11">
        <v>333333</v>
      </c>
      <c r="C11" t="str">
        <v>Real market: ₹35-55L/yr. Chosen: ₹40L/yr.</v>
      </c>
    </row>
    <row r="12">
      <c r="A12" t="str">
        <v>Tech Lead</v>
      </c>
      <c r="B12">
        <v>458333</v>
      </c>
      <c r="C12" t="str">
        <v>Real market: ~₹45-70L/yr (staff/principal-adjacent). Chosen: ₹55L/yr.</v>
      </c>
    </row>
    <row r="13">
      <c r="A13" t="str">
        <v>DevOps</v>
      </c>
      <c r="B13">
        <v>183333</v>
      </c>
      <c r="C13" t="str">
        <v>Real market: ~₹15-30L/yr. Chosen: ₹22L/yr, comparable to Mid-level Dev.</v>
      </c>
    </row>
    <row r="14">
      <c r="A14" t="str">
        <v>QA</v>
      </c>
      <c r="B14">
        <v>100000</v>
      </c>
      <c r="C14" t="str">
        <v>Real market: ~₹8-20L/yr. Chosen: ₹12L/yr.</v>
      </c>
    </row>
    <row r="15">
      <c r="A15" t="str">
        <v>Product Manager</v>
      </c>
      <c r="B15">
        <v>233333</v>
      </c>
      <c r="C15" t="str">
        <v>Real market: ~₹20-40L/yr. Chosen: ₹28L/yr.</v>
      </c>
    </row>
    <row r="16">
      <c r="A16" t="str">
        <v>Designer</v>
      </c>
      <c r="B16">
        <v>133333</v>
      </c>
      <c r="C16" t="str">
        <v>Real market: ~₹12-25L/yr. Chosen: ₹16L/yr.</v>
      </c>
    </row>
    <row r="17">
      <c r="A17" t="str">
        <v>Support</v>
      </c>
      <c r="B17">
        <v>50000</v>
      </c>
      <c r="C17" t="str">
        <v>Entry-level support/ops. Chosen: ₹6L/yr.</v>
      </c>
    </row>
    <row r="18">
      <c r="A18" t="str">
        <v>Data Analyst</v>
      </c>
      <c r="B18">
        <v>116667</v>
      </c>
      <c r="C18" t="str">
        <v>Real market: comparable to Mid-level Dev band. Chosen: ₹14L/yr.</v>
      </c>
    </row>
    <row r="19">
      <c r="A19" t="str">
        <v/>
      </c>
      <c r="B19" t="str">
        <v/>
      </c>
      <c r="C19" t="str">
        <v/>
      </c>
    </row>
    <row r="20">
      <c r="A20" t="str">
        <v>All "Unit Cost (USD)" cells for salaried roles across every Budget sheet read =Assumptions!$B$&lt;row&gt;/Assumptions!$B$4 — editing a salary above or the exchange rate recalculates the entire 3-year model.</v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>Blended Customer Acquisition Cost (CAC) by Year (USD)</v>
      </c>
      <c r="B22" t="str">
        <v/>
      </c>
      <c r="C22" t="str">
        <v/>
      </c>
    </row>
    <row r="23">
      <c r="A23" t="str">
        <v>Year</v>
      </c>
      <c r="B23" t="str">
        <v>USD per acquired user</v>
      </c>
      <c r="C23" t="str">
        <v>Note</v>
      </c>
    </row>
    <row r="24">
      <c r="A24" t="str">
        <v>Year 1 (Months 1-12)</v>
      </c>
      <c r="B24">
        <v>8</v>
      </c>
      <c r="C24" t="str">
        <v>Matches Greyin_Business_Metrics_PitchDeck.xlsx's ARPU/CAC/LTV table. Decreasing over time with referral (40%) &amp; organic growth.</v>
      </c>
    </row>
    <row r="25">
      <c r="A25" t="str">
        <v>Year 2 (Months 13-24)</v>
      </c>
      <c r="B25">
        <v>6</v>
      </c>
      <c r="C25" t="str">
        <v/>
      </c>
    </row>
    <row r="26">
      <c r="A26" t="str">
        <v>Year 3 (Months 25-36)</v>
      </c>
      <c r="B26">
        <v>4</v>
      </c>
      <c r="C26" t="str">
        <v/>
      </c>
    </row>
    <row r="27">
      <c r="A27" t="str">
        <v/>
      </c>
      <c r="B27" t="str">
        <v/>
      </c>
      <c r="C27" t="str">
        <v>Added 2026-09-08: every Budget sheet's "Customer Acquisition" line = this milestone's net-new-users/month (from the model's own growth curve) × the CAC for whichever year that milestone falls in. Previously CAC was used only for LTV:CAC and DAU-to-break-even narrative math -- never actually charged as a cost, so every Contribution Margin figure understated real spend.</v>
      </c>
    </row>
  </sheetData>
  <ignoredErrors>
    <ignoredError numberStoredAsText="1" sqref="A1:C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86"/>
  <sheetViews>
    <sheetView workbookViewId="0"/>
  </sheetViews>
  <sheetData>
    <row r="1">
      <c r="A1" t="str">
        <v>Greyin — 3-Year Budget Projection (On-site)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Generated: 2026-09-08 — every cost below is driven by the Assumptions sheet; edit the exchange rate, a salary cell, or a CAC-by-year cell there and this whole sheet recalculates.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Month 1 — 100 Users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Category</v>
      </c>
      <c r="B5" t="str">
        <v>Unit</v>
      </c>
      <c r="C5" t="str">
        <v>Quantity</v>
      </c>
      <c r="D5" t="str">
        <v>Unit Cost (USD)</v>
      </c>
      <c r="E5" t="str">
        <v>Monthly Cost (USD)</v>
      </c>
      <c r="F5" t="str">
        <v>Annual Cost (USD)</v>
      </c>
      <c r="G5" t="str">
        <v>6-Month Cost (USD)</v>
      </c>
      <c r="H5" t="str">
        <v>Notes</v>
      </c>
      <c r="I5" t="str">
        <v>Monthly Cost (INR)</v>
      </c>
      <c r="J5" t="str">
        <v>Annual Cost (INR)</v>
      </c>
      <c r="K5" t="str">
        <v>6-Month Cost (INR)</v>
      </c>
    </row>
    <row r="6">
      <c r="A6" t="str">
        <v>AWS Infrastructure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compute</v>
      </c>
      <c r="B7" t="str">
        <v>Month</v>
      </c>
      <c r="C7">
        <v>1</v>
      </c>
      <c r="D7">
        <v>100</v>
      </c>
      <c r="E7">
        <f>C7*D7</f>
        <v>100</v>
      </c>
      <c r="F7">
        <f>E7*12</f>
        <v>1200</v>
      </c>
      <c r="G7">
        <f>E7*6</f>
        <v>600</v>
      </c>
      <c r="H7" t="str">
        <v/>
      </c>
      <c r="I7">
        <f>E7*Assumptions!$B$4</f>
        <v>9445</v>
      </c>
      <c r="J7">
        <f>F7*Assumptions!$B$4</f>
        <v>113340</v>
      </c>
      <c r="K7">
        <f>G7*Assumptions!$B$4</f>
        <v>56670</v>
      </c>
    </row>
    <row r="8">
      <c r="A8" t="str">
        <v>database</v>
      </c>
      <c r="B8" t="str">
        <v>Month</v>
      </c>
      <c r="C8">
        <v>1</v>
      </c>
      <c r="D8">
        <v>50</v>
      </c>
      <c r="E8">
        <f>C8*D8</f>
        <v>50</v>
      </c>
      <c r="F8">
        <f>E8*12</f>
        <v>600</v>
      </c>
      <c r="G8">
        <f>E8*6</f>
        <v>300</v>
      </c>
      <c r="H8" t="str">
        <v/>
      </c>
      <c r="I8">
        <f>E8*Assumptions!$B$4</f>
        <v>4722.5</v>
      </c>
      <c r="J8">
        <f>F8*Assumptions!$B$4</f>
        <v>56670</v>
      </c>
      <c r="K8">
        <f>G8*Assumptions!$B$4</f>
        <v>28335</v>
      </c>
    </row>
    <row r="9">
      <c r="A9" t="str">
        <v>storage</v>
      </c>
      <c r="B9" t="str">
        <v>Month</v>
      </c>
      <c r="C9">
        <v>1</v>
      </c>
      <c r="D9">
        <v>25</v>
      </c>
      <c r="E9">
        <f>C9*D9</f>
        <v>25</v>
      </c>
      <c r="F9">
        <f>E9*12</f>
        <v>300</v>
      </c>
      <c r="G9">
        <f>E9*6</f>
        <v>150</v>
      </c>
      <c r="H9" t="str">
        <v/>
      </c>
      <c r="I9">
        <f>E9*Assumptions!$B$4</f>
        <v>2361.25</v>
      </c>
      <c r="J9">
        <f>F9*Assumptions!$B$4</f>
        <v>28335</v>
      </c>
      <c r="K9">
        <f>G9*Assumptions!$B$4</f>
        <v>14167.5</v>
      </c>
    </row>
    <row r="10">
      <c r="A10" t="str">
        <v>networking</v>
      </c>
      <c r="B10" t="str">
        <v>Month</v>
      </c>
      <c r="C10">
        <v>1</v>
      </c>
      <c r="D10">
        <v>15</v>
      </c>
      <c r="E10">
        <f>C10*D10</f>
        <v>15</v>
      </c>
      <c r="F10">
        <f>E10*12</f>
        <v>180</v>
      </c>
      <c r="G10">
        <f>E10*6</f>
        <v>90</v>
      </c>
      <c r="H10" t="str">
        <v/>
      </c>
      <c r="I10">
        <f>E10*Assumptions!$B$4</f>
        <v>1416.75</v>
      </c>
      <c r="J10">
        <f>F10*Assumptions!$B$4</f>
        <v>17001</v>
      </c>
      <c r="K10">
        <f>G10*Assumptions!$B$4</f>
        <v>8500.5</v>
      </c>
    </row>
    <row r="11">
      <c r="A11" t="str">
        <v>data_transfer</v>
      </c>
      <c r="B11" t="str">
        <v>Month</v>
      </c>
      <c r="C11">
        <v>1</v>
      </c>
      <c r="D11">
        <v>20</v>
      </c>
      <c r="E11">
        <f>C11*D11</f>
        <v>20</v>
      </c>
      <c r="F11">
        <f>E11*12</f>
        <v>240</v>
      </c>
      <c r="G11">
        <f>E11*6</f>
        <v>120</v>
      </c>
      <c r="H11" t="str">
        <v/>
      </c>
      <c r="I11">
        <f>E11*Assumptions!$B$4</f>
        <v>1889</v>
      </c>
      <c r="J11">
        <f>F11*Assumptions!$B$4</f>
        <v>22668</v>
      </c>
      <c r="K11">
        <f>G11*Assumptions!$B$4</f>
        <v>11334</v>
      </c>
    </row>
    <row r="12">
      <c r="A12" t="str">
        <v>monitoring</v>
      </c>
      <c r="B12" t="str">
        <v>Month</v>
      </c>
      <c r="C12">
        <v>1</v>
      </c>
      <c r="D12">
        <v>10</v>
      </c>
      <c r="E12">
        <f>C12*D12</f>
        <v>10</v>
      </c>
      <c r="F12">
        <f>E12*12</f>
        <v>120</v>
      </c>
      <c r="G12">
        <f>E12*6</f>
        <v>60</v>
      </c>
      <c r="H12" t="str">
        <v/>
      </c>
      <c r="I12">
        <f>E12*Assumptions!$B$4</f>
        <v>944.5</v>
      </c>
      <c r="J12">
        <f>F12*Assumptions!$B$4</f>
        <v>11334</v>
      </c>
      <c r="K12">
        <f>G12*Assumptions!$B$4</f>
        <v>5667</v>
      </c>
    </row>
    <row r="13">
      <c r="A13" t="str">
        <v>backups</v>
      </c>
      <c r="B13" t="str">
        <v>Month</v>
      </c>
      <c r="C13">
        <v>1</v>
      </c>
      <c r="D13">
        <v>10</v>
      </c>
      <c r="E13">
        <f>C13*D13</f>
        <v>10</v>
      </c>
      <c r="F13">
        <f>E13*12</f>
        <v>120</v>
      </c>
      <c r="G13">
        <f>E13*6</f>
        <v>60</v>
      </c>
      <c r="H13" t="str">
        <v/>
      </c>
      <c r="I13">
        <f>E13*Assumptions!$B$4</f>
        <v>944.5</v>
      </c>
      <c r="J13">
        <f>F13*Assumptions!$B$4</f>
        <v>11334</v>
      </c>
      <c r="K13">
        <f>G13*Assumptions!$B$4</f>
        <v>5667</v>
      </c>
    </row>
    <row r="14">
      <c r="A14" t="str">
        <v>AWS Subtotal</v>
      </c>
      <c r="B14" t="str">
        <v/>
      </c>
      <c r="C14" t="str">
        <v/>
      </c>
      <c r="D14" t="str">
        <v/>
      </c>
      <c r="E14">
        <f>SUM(E7:E13)</f>
        <v>230</v>
      </c>
      <c r="F14">
        <f>E14*12</f>
        <v>2760</v>
      </c>
      <c r="G14">
        <f>E14*6</f>
        <v>1380</v>
      </c>
      <c r="H14" t="str">
        <v/>
      </c>
      <c r="I14">
        <f>E14*Assumptions!$B$4</f>
        <v>21723.5</v>
      </c>
      <c r="J14">
        <f>F14*Assumptions!$B$4</f>
        <v>260682</v>
      </c>
      <c r="K14">
        <f>G14*Assumptions!$B$4</f>
        <v>130341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Engineering Team (India-based)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Senior Dev</v>
      </c>
      <c r="B17" t="str">
        <v>Person</v>
      </c>
      <c r="C17">
        <v>1</v>
      </c>
      <c r="D17">
        <f>Assumptions!$B$11/Assumptions!$B$4</f>
        <v>3529.2006352567496</v>
      </c>
      <c r="E17">
        <f>C17*D17</f>
        <v>3529.2006352567496</v>
      </c>
      <c r="F17">
        <f>E17*12</f>
        <v>42350.407623080995</v>
      </c>
      <c r="G17">
        <f>E17*6</f>
        <v>21175.203811540498</v>
      </c>
      <c r="H17" t="str">
        <v/>
      </c>
      <c r="I17">
        <f>E17*Assumptions!$B$4</f>
        <v>333333</v>
      </c>
      <c r="J17">
        <f>F17*Assumptions!$B$4</f>
        <v>3999996</v>
      </c>
      <c r="K17">
        <f>G17*Assumptions!$B$4</f>
        <v>1999998</v>
      </c>
    </row>
    <row r="18">
      <c r="A18" t="str">
        <v>Junior Dev</v>
      </c>
      <c r="B18" t="str">
        <v>Person</v>
      </c>
      <c r="C18">
        <v>1</v>
      </c>
      <c r="D18">
        <f>Assumptions!$B$9/Assumptions!$B$4</f>
        <v>882.297511911064</v>
      </c>
      <c r="E18">
        <f>C18*D18</f>
        <v>882.297511911064</v>
      </c>
      <c r="F18">
        <f>E18*12</f>
        <v>10587.570142932767</v>
      </c>
      <c r="G18">
        <f>E18*6</f>
        <v>5293.785071466384</v>
      </c>
      <c r="H18" t="str">
        <v/>
      </c>
      <c r="I18">
        <f>E18*Assumptions!$B$4</f>
        <v>83333</v>
      </c>
      <c r="J18">
        <f>F18*Assumptions!$B$4</f>
        <v>999995.9999999999</v>
      </c>
      <c r="K18">
        <f>G18*Assumptions!$B$4</f>
        <v>499997.99999999994</v>
      </c>
    </row>
    <row r="19">
      <c r="A19" t="str">
        <v>Office Space (Bangalore)</v>
      </c>
      <c r="B19" t="str">
        <v>Month</v>
      </c>
      <c r="C19">
        <v>1</v>
      </c>
      <c r="D19">
        <v>2500</v>
      </c>
      <c r="E19">
        <f>C19*D19</f>
        <v>2500</v>
      </c>
      <c r="F19">
        <f>E19*12</f>
        <v>30000</v>
      </c>
      <c r="G19">
        <f>E19*6</f>
        <v>15000</v>
      </c>
      <c r="H19" t="str">
        <v/>
      </c>
      <c r="I19">
        <f>E19*Assumptions!$B$4</f>
        <v>236125</v>
      </c>
      <c r="J19">
        <f>F19*Assumptions!$B$4</f>
        <v>2833500</v>
      </c>
      <c r="K19">
        <f>G19*Assumptions!$B$4</f>
        <v>1416750</v>
      </c>
    </row>
    <row r="20">
      <c r="A20" t="str">
        <v>Utilities &amp; Internet</v>
      </c>
      <c r="B20" t="str">
        <v>Month</v>
      </c>
      <c r="C20">
        <v>1</v>
      </c>
      <c r="D20">
        <v>500</v>
      </c>
      <c r="E20">
        <f>C20*D20</f>
        <v>500</v>
      </c>
      <c r="F20">
        <f>E20*12</f>
        <v>6000</v>
      </c>
      <c r="G20">
        <f>E20*6</f>
        <v>3000</v>
      </c>
      <c r="H20" t="str">
        <v/>
      </c>
      <c r="I20">
        <f>E20*Assumptions!$B$4</f>
        <v>47225</v>
      </c>
      <c r="J20">
        <f>F20*Assumptions!$B$4</f>
        <v>566700</v>
      </c>
      <c r="K20">
        <f>G20*Assumptions!$B$4</f>
        <v>283350</v>
      </c>
    </row>
    <row r="21">
      <c r="A21" t="str">
        <v>Team Subtotal</v>
      </c>
      <c r="B21" t="str">
        <v/>
      </c>
      <c r="C21" t="str">
        <v/>
      </c>
      <c r="D21" t="str">
        <v/>
      </c>
      <c r="E21">
        <f>SUM(E17:E20)</f>
        <v>7411.498147167814</v>
      </c>
      <c r="F21">
        <f>E21*12</f>
        <v>88937.97776601376</v>
      </c>
      <c r="G21">
        <f>E21*6</f>
        <v>44468.98888300688</v>
      </c>
      <c r="H21" t="str">
        <v/>
      </c>
      <c r="I21">
        <f>E21*Assumptions!$B$4</f>
        <v>700016</v>
      </c>
      <c r="J21">
        <f>F21*Assumptions!$B$4</f>
        <v>8400192</v>
      </c>
      <c r="K21">
        <f>G21*Assumptions!$B$4</f>
        <v>4200096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Customer Acquisition (CAC-based)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New user acquisition (paid + organic, blended)</v>
      </c>
      <c r="B24" t="str">
        <v>New users/mo</v>
      </c>
      <c r="C24">
        <v>100</v>
      </c>
      <c r="D24">
        <f>Assumptions!$B$24</f>
        <v>8</v>
      </c>
      <c r="E24">
        <f>C24*D24</f>
        <v>800</v>
      </c>
      <c r="F24">
        <f>E24*12</f>
        <v>9600</v>
      </c>
      <c r="G24">
        <f>E24*6</f>
        <v>4800</v>
      </c>
      <c r="H24" t="str">
        <v>Launch: ~100 users acquired in Month 1 = 100/mo net-new × Year 1 blended CAC ($8). Added 2026-09-08 -- previously the CAC stated in the Pitch Deck's unit-economics table was never charged against this cost model.</v>
      </c>
      <c r="I24">
        <f>E24*Assumptions!$B$4</f>
        <v>75560</v>
      </c>
      <c r="J24">
        <f>F24*Assumptions!$B$4</f>
        <v>906720</v>
      </c>
      <c r="K24">
        <f>G24*Assumptions!$B$4</f>
        <v>453360</v>
      </c>
    </row>
    <row r="25">
      <c r="A25" t="str">
        <v>Customer Acquisition Subtotal</v>
      </c>
      <c r="B25" t="str">
        <v/>
      </c>
      <c r="C25" t="str">
        <v/>
      </c>
      <c r="D25" t="str">
        <v/>
      </c>
      <c r="E25">
        <f>SUM(E24:E24)</f>
        <v>800</v>
      </c>
      <c r="F25">
        <f>E25*12</f>
        <v>9600</v>
      </c>
      <c r="G25">
        <f>E25*6</f>
        <v>4800</v>
      </c>
      <c r="H25" t="str">
        <v/>
      </c>
      <c r="I25">
        <f>E25*Assumptions!$B$4</f>
        <v>75560</v>
      </c>
      <c r="J25">
        <f>F25*Assumptions!$B$4</f>
        <v>906720</v>
      </c>
      <c r="K25">
        <f>G25*Assumptions!$B$4</f>
        <v>453360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Operating Costs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SaaS Tools (Jira, Slack, etc.)</v>
      </c>
      <c r="B28" t="str">
        <v>Month</v>
      </c>
      <c r="C28">
        <v>1</v>
      </c>
      <c r="D28">
        <v>300</v>
      </c>
      <c r="E28">
        <f>C28*D28</f>
        <v>300</v>
      </c>
      <c r="F28">
        <f>E28*12</f>
        <v>3600</v>
      </c>
      <c r="G28">
        <f>E28*6</f>
        <v>1800</v>
      </c>
      <c r="H28" t="str">
        <v/>
      </c>
      <c r="I28">
        <f>E28*Assumptions!$B$4</f>
        <v>28335</v>
      </c>
      <c r="J28">
        <f>F28*Assumptions!$B$4</f>
        <v>340020</v>
      </c>
      <c r="K28">
        <f>G28*Assumptions!$B$4</f>
        <v>170010</v>
      </c>
    </row>
    <row r="29">
      <c r="A29" t="str">
        <v>DevOps Tools (CI/CD, monitoring)</v>
      </c>
      <c r="B29" t="str">
        <v>Month</v>
      </c>
      <c r="C29">
        <v>1</v>
      </c>
      <c r="D29">
        <v>200</v>
      </c>
      <c r="E29">
        <f>C29*D29</f>
        <v>200</v>
      </c>
      <c r="F29">
        <f>E29*12</f>
        <v>2400</v>
      </c>
      <c r="G29">
        <f>E29*6</f>
        <v>1200</v>
      </c>
      <c r="H29" t="str">
        <v/>
      </c>
      <c r="I29">
        <f>E29*Assumptions!$B$4</f>
        <v>18890</v>
      </c>
      <c r="J29">
        <f>F29*Assumptions!$B$4</f>
        <v>226680</v>
      </c>
      <c r="K29">
        <f>G29*Assumptions!$B$4</f>
        <v>113340</v>
      </c>
    </row>
    <row r="30">
      <c r="A30" t="str">
        <v>Communication &amp; Collaboration</v>
      </c>
      <c r="B30" t="str">
        <v>Month</v>
      </c>
      <c r="C30">
        <v>1</v>
      </c>
      <c r="D30">
        <v>150</v>
      </c>
      <c r="E30">
        <f>C30*D30</f>
        <v>150</v>
      </c>
      <c r="F30">
        <f>E30*12</f>
        <v>1800</v>
      </c>
      <c r="G30">
        <f>E30*6</f>
        <v>900</v>
      </c>
      <c r="H30" t="str">
        <v/>
      </c>
      <c r="I30">
        <f>E30*Assumptions!$B$4</f>
        <v>14167.5</v>
      </c>
      <c r="J30">
        <f>F30*Assumptions!$B$4</f>
        <v>170010</v>
      </c>
      <c r="K30">
        <f>G30*Assumptions!$B$4</f>
        <v>85005</v>
      </c>
    </row>
    <row r="31">
      <c r="A31" t="str">
        <v>Professional Development</v>
      </c>
      <c r="B31" t="str">
        <v>Month</v>
      </c>
      <c r="C31">
        <v>1</v>
      </c>
      <c r="D31">
        <v>200</v>
      </c>
      <c r="E31">
        <f>C31*D31</f>
        <v>200</v>
      </c>
      <c r="F31">
        <f>E31*12</f>
        <v>2400</v>
      </c>
      <c r="G31">
        <f>E31*6</f>
        <v>1200</v>
      </c>
      <c r="H31" t="str">
        <v/>
      </c>
      <c r="I31">
        <f>E31*Assumptions!$B$4</f>
        <v>18890</v>
      </c>
      <c r="J31">
        <f>F31*Assumptions!$B$4</f>
        <v>226680</v>
      </c>
      <c r="K31">
        <f>G31*Assumptions!$B$4</f>
        <v>113340</v>
      </c>
    </row>
    <row r="32">
      <c r="A32" t="str">
        <v>Insurance &amp; Compliance</v>
      </c>
      <c r="B32" t="str">
        <v>Month</v>
      </c>
      <c r="C32">
        <v>1</v>
      </c>
      <c r="D32">
        <v>300</v>
      </c>
      <c r="E32">
        <f>C32*D32</f>
        <v>300</v>
      </c>
      <c r="F32">
        <f>E32*12</f>
        <v>3600</v>
      </c>
      <c r="G32">
        <f>E32*6</f>
        <v>1800</v>
      </c>
      <c r="H32" t="str">
        <v/>
      </c>
      <c r="I32">
        <f>E32*Assumptions!$B$4</f>
        <v>28335</v>
      </c>
      <c r="J32">
        <f>F32*Assumptions!$B$4</f>
        <v>340020</v>
      </c>
      <c r="K32">
        <f>G32*Assumptions!$B$4</f>
        <v>170010</v>
      </c>
    </row>
    <row r="33">
      <c r="A33" t="str">
        <v>Marketing &amp; Community</v>
      </c>
      <c r="B33" t="str">
        <v>Month</v>
      </c>
      <c r="C33">
        <v>1</v>
      </c>
      <c r="D33">
        <v>500</v>
      </c>
      <c r="E33">
        <f>C33*D33</f>
        <v>500</v>
      </c>
      <c r="F33">
        <f>E33*12</f>
        <v>6000</v>
      </c>
      <c r="G33">
        <f>E33*6</f>
        <v>3000</v>
      </c>
      <c r="H33" t="str">
        <v/>
      </c>
      <c r="I33">
        <f>E33*Assumptions!$B$4</f>
        <v>47225</v>
      </c>
      <c r="J33">
        <f>F33*Assumptions!$B$4</f>
        <v>566700</v>
      </c>
      <c r="K33">
        <f>G33*Assumptions!$B$4</f>
        <v>283350</v>
      </c>
    </row>
    <row r="34">
      <c r="A34" t="str">
        <v>Operating Subtotal</v>
      </c>
      <c r="B34" t="str">
        <v/>
      </c>
      <c r="C34" t="str">
        <v/>
      </c>
      <c r="D34" t="str">
        <v/>
      </c>
      <c r="E34">
        <f>SUM(E28:E33)</f>
        <v>1650</v>
      </c>
      <c r="F34">
        <f>E34*12</f>
        <v>19800</v>
      </c>
      <c r="G34">
        <f>E34*6</f>
        <v>9900</v>
      </c>
      <c r="H34" t="str">
        <v/>
      </c>
      <c r="I34">
        <f>E34*Assumptions!$B$4</f>
        <v>155842.5</v>
      </c>
      <c r="J34">
        <f>F34*Assumptions!$B$4</f>
        <v>1870110</v>
      </c>
      <c r="K34">
        <f>G34*Assumptions!$B$4</f>
        <v>935055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TOTAL MONTHLY COST</v>
      </c>
      <c r="B36" t="str">
        <v/>
      </c>
      <c r="C36" t="str">
        <v/>
      </c>
      <c r="D36" t="str">
        <v/>
      </c>
      <c r="E36">
        <f>E14+E21+E25+E34</f>
        <v>10091.498147167815</v>
      </c>
      <c r="F36">
        <f>E36*12</f>
        <v>121097.97776601378</v>
      </c>
      <c r="G36">
        <f>E36*6</f>
        <v>60548.98888300689</v>
      </c>
      <c r="H36" t="str">
        <v/>
      </c>
      <c r="I36">
        <f>E36*Assumptions!$B$4</f>
        <v>953142.0000000001</v>
      </c>
      <c r="J36">
        <f>F36*Assumptions!$B$4</f>
        <v>11437704.000000002</v>
      </c>
      <c r="K36">
        <f>G36*Assumptions!$B$4</f>
        <v>5718852.000000001</v>
      </c>
    </row>
    <row r="37">
      <c r="A37" t="str">
        <v>Cost per User (Monthly)</v>
      </c>
      <c r="B37" t="str">
        <v/>
      </c>
      <c r="C37" t="str">
        <v/>
      </c>
      <c r="D37" t="str">
        <v/>
      </c>
      <c r="E37">
        <f>E36/100</f>
        <v>100.91498147167815</v>
      </c>
      <c r="F37" t="str">
        <v/>
      </c>
      <c r="G37" t="str">
        <v/>
      </c>
      <c r="H37" t="str">
        <v/>
      </c>
      <c r="I37">
        <f>E37*Assumptions!$B$4</f>
        <v>9531.420000000002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Month 6 — 1,000 Users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Category</v>
      </c>
      <c r="B41" t="str">
        <v>Unit</v>
      </c>
      <c r="C41" t="str">
        <v>Quantity</v>
      </c>
      <c r="D41" t="str">
        <v>Unit Cost (USD)</v>
      </c>
      <c r="E41" t="str">
        <v>Monthly Cost (USD)</v>
      </c>
      <c r="F41" t="str">
        <v>Annual Cost (USD)</v>
      </c>
      <c r="G41" t="str">
        <v>6-Month Cost (USD)</v>
      </c>
      <c r="H41" t="str">
        <v>Notes</v>
      </c>
      <c r="I41" t="str">
        <v>Monthly Cost (INR)</v>
      </c>
      <c r="J41" t="str">
        <v>Annual Cost (INR)</v>
      </c>
      <c r="K41" t="str">
        <v>6-Month Cost (INR)</v>
      </c>
    </row>
    <row r="42">
      <c r="A42" t="str">
        <v>AWS Infrastructure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compute</v>
      </c>
      <c r="B43" t="str">
        <v>Month</v>
      </c>
      <c r="C43">
        <v>1</v>
      </c>
      <c r="D43">
        <v>250</v>
      </c>
      <c r="E43">
        <f>C43*D43</f>
        <v>250</v>
      </c>
      <c r="F43">
        <f>E43*12</f>
        <v>3000</v>
      </c>
      <c r="G43">
        <f>E43*6</f>
        <v>1500</v>
      </c>
      <c r="H43" t="str">
        <v/>
      </c>
      <c r="I43">
        <f>E43*Assumptions!$B$4</f>
        <v>23612.5</v>
      </c>
      <c r="J43">
        <f>F43*Assumptions!$B$4</f>
        <v>283350</v>
      </c>
      <c r="K43">
        <f>G43*Assumptions!$B$4</f>
        <v>141675</v>
      </c>
    </row>
    <row r="44">
      <c r="A44" t="str">
        <v>database</v>
      </c>
      <c r="B44" t="str">
        <v>Month</v>
      </c>
      <c r="C44">
        <v>1</v>
      </c>
      <c r="D44">
        <v>150</v>
      </c>
      <c r="E44">
        <f>C44*D44</f>
        <v>150</v>
      </c>
      <c r="F44">
        <f>E44*12</f>
        <v>1800</v>
      </c>
      <c r="G44">
        <f>E44*6</f>
        <v>900</v>
      </c>
      <c r="H44" t="str">
        <v/>
      </c>
      <c r="I44">
        <f>E44*Assumptions!$B$4</f>
        <v>14167.5</v>
      </c>
      <c r="J44">
        <f>F44*Assumptions!$B$4</f>
        <v>170010</v>
      </c>
      <c r="K44">
        <f>G44*Assumptions!$B$4</f>
        <v>85005</v>
      </c>
    </row>
    <row r="45">
      <c r="A45" t="str">
        <v>storage</v>
      </c>
      <c r="B45" t="str">
        <v>Month</v>
      </c>
      <c r="C45">
        <v>1</v>
      </c>
      <c r="D45">
        <v>60</v>
      </c>
      <c r="E45">
        <f>C45*D45</f>
        <v>60</v>
      </c>
      <c r="F45">
        <f>E45*12</f>
        <v>720</v>
      </c>
      <c r="G45">
        <f>E45*6</f>
        <v>360</v>
      </c>
      <c r="H45" t="str">
        <v/>
      </c>
      <c r="I45">
        <f>E45*Assumptions!$B$4</f>
        <v>5667</v>
      </c>
      <c r="J45">
        <f>F45*Assumptions!$B$4</f>
        <v>68004</v>
      </c>
      <c r="K45">
        <f>G45*Assumptions!$B$4</f>
        <v>34002</v>
      </c>
    </row>
    <row r="46">
      <c r="A46" t="str">
        <v>networking</v>
      </c>
      <c r="B46" t="str">
        <v>Month</v>
      </c>
      <c r="C46">
        <v>1</v>
      </c>
      <c r="D46">
        <v>40</v>
      </c>
      <c r="E46">
        <f>C46*D46</f>
        <v>40</v>
      </c>
      <c r="F46">
        <f>E46*12</f>
        <v>480</v>
      </c>
      <c r="G46">
        <f>E46*6</f>
        <v>240</v>
      </c>
      <c r="H46" t="str">
        <v/>
      </c>
      <c r="I46">
        <f>E46*Assumptions!$B$4</f>
        <v>3778</v>
      </c>
      <c r="J46">
        <f>F46*Assumptions!$B$4</f>
        <v>45336</v>
      </c>
      <c r="K46">
        <f>G46*Assumptions!$B$4</f>
        <v>22668</v>
      </c>
    </row>
    <row r="47">
      <c r="A47" t="str">
        <v>data_transfer</v>
      </c>
      <c r="B47" t="str">
        <v>Month</v>
      </c>
      <c r="C47">
        <v>1</v>
      </c>
      <c r="D47">
        <v>50</v>
      </c>
      <c r="E47">
        <f>C47*D47</f>
        <v>50</v>
      </c>
      <c r="F47">
        <f>E47*12</f>
        <v>600</v>
      </c>
      <c r="G47">
        <f>E47*6</f>
        <v>300</v>
      </c>
      <c r="H47" t="str">
        <v/>
      </c>
      <c r="I47">
        <f>E47*Assumptions!$B$4</f>
        <v>4722.5</v>
      </c>
      <c r="J47">
        <f>F47*Assumptions!$B$4</f>
        <v>56670</v>
      </c>
      <c r="K47">
        <f>G47*Assumptions!$B$4</f>
        <v>28335</v>
      </c>
    </row>
    <row r="48">
      <c r="A48" t="str">
        <v>monitoring</v>
      </c>
      <c r="B48" t="str">
        <v>Month</v>
      </c>
      <c r="C48">
        <v>1</v>
      </c>
      <c r="D48">
        <v>20</v>
      </c>
      <c r="E48">
        <f>C48*D48</f>
        <v>20</v>
      </c>
      <c r="F48">
        <f>E48*12</f>
        <v>240</v>
      </c>
      <c r="G48">
        <f>E48*6</f>
        <v>120</v>
      </c>
      <c r="H48" t="str">
        <v/>
      </c>
      <c r="I48">
        <f>E48*Assumptions!$B$4</f>
        <v>1889</v>
      </c>
      <c r="J48">
        <f>F48*Assumptions!$B$4</f>
        <v>22668</v>
      </c>
      <c r="K48">
        <f>G48*Assumptions!$B$4</f>
        <v>11334</v>
      </c>
    </row>
    <row r="49">
      <c r="A49" t="str">
        <v>backups</v>
      </c>
      <c r="B49" t="str">
        <v>Month</v>
      </c>
      <c r="C49">
        <v>1</v>
      </c>
      <c r="D49">
        <v>25</v>
      </c>
      <c r="E49">
        <f>C49*D49</f>
        <v>25</v>
      </c>
      <c r="F49">
        <f>E49*12</f>
        <v>300</v>
      </c>
      <c r="G49">
        <f>E49*6</f>
        <v>150</v>
      </c>
      <c r="H49" t="str">
        <v/>
      </c>
      <c r="I49">
        <f>E49*Assumptions!$B$4</f>
        <v>2361.25</v>
      </c>
      <c r="J49">
        <f>F49*Assumptions!$B$4</f>
        <v>28335</v>
      </c>
      <c r="K49">
        <f>G49*Assumptions!$B$4</f>
        <v>14167.5</v>
      </c>
    </row>
    <row r="50">
      <c r="A50" t="str">
        <v>AWS Subtotal</v>
      </c>
      <c r="B50" t="str">
        <v/>
      </c>
      <c r="C50" t="str">
        <v/>
      </c>
      <c r="D50" t="str">
        <v/>
      </c>
      <c r="E50">
        <f>SUM(E43:E49)</f>
        <v>595</v>
      </c>
      <c r="F50">
        <f>E50*12</f>
        <v>7140</v>
      </c>
      <c r="G50">
        <f>E50*6</f>
        <v>3570</v>
      </c>
      <c r="H50" t="str">
        <v/>
      </c>
      <c r="I50">
        <f>E50*Assumptions!$B$4</f>
        <v>56197.75</v>
      </c>
      <c r="J50">
        <f>F50*Assumptions!$B$4</f>
        <v>674373</v>
      </c>
      <c r="K50">
        <f>G50*Assumptions!$B$4</f>
        <v>337186.5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Engineering Team (India-based)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Senior Dev</v>
      </c>
      <c r="B53" t="str">
        <v>Person</v>
      </c>
      <c r="C53">
        <v>1</v>
      </c>
      <c r="D53">
        <f>Assumptions!$B$11/Assumptions!$B$4</f>
        <v>3529.2006352567496</v>
      </c>
      <c r="E53">
        <f>C53*D53</f>
        <v>3529.2006352567496</v>
      </c>
      <c r="F53">
        <f>E53*12</f>
        <v>42350.407623080995</v>
      </c>
      <c r="G53">
        <f>E53*6</f>
        <v>21175.203811540498</v>
      </c>
      <c r="H53" t="str">
        <v/>
      </c>
      <c r="I53">
        <f>E53*Assumptions!$B$4</f>
        <v>333333</v>
      </c>
      <c r="J53">
        <f>F53*Assumptions!$B$4</f>
        <v>3999996</v>
      </c>
      <c r="K53">
        <f>G53*Assumptions!$B$4</f>
        <v>1999998</v>
      </c>
    </row>
    <row r="54">
      <c r="A54" t="str">
        <v>Mid-level Dev</v>
      </c>
      <c r="B54" t="str">
        <v>Person</v>
      </c>
      <c r="C54">
        <v>1</v>
      </c>
      <c r="D54">
        <f>Assumptions!$B$10/Assumptions!$B$4</f>
        <v>1941.0587612493382</v>
      </c>
      <c r="E54">
        <f>C54*D54</f>
        <v>1941.0587612493382</v>
      </c>
      <c r="F54">
        <f>E54*12</f>
        <v>23292.70513499206</v>
      </c>
      <c r="G54">
        <f>E54*6</f>
        <v>11646.35256749603</v>
      </c>
      <c r="H54" t="str">
        <v/>
      </c>
      <c r="I54">
        <f>E54*Assumptions!$B$4</f>
        <v>183333</v>
      </c>
      <c r="J54">
        <f>F54*Assumptions!$B$4</f>
        <v>2199996</v>
      </c>
      <c r="K54">
        <f>G54*Assumptions!$B$4</f>
        <v>1099998</v>
      </c>
    </row>
    <row r="55">
      <c r="A55" t="str">
        <v>Junior Dev</v>
      </c>
      <c r="B55" t="str">
        <v>Person</v>
      </c>
      <c r="C55">
        <v>1</v>
      </c>
      <c r="D55">
        <f>Assumptions!$B$9/Assumptions!$B$4</f>
        <v>882.297511911064</v>
      </c>
      <c r="E55">
        <f>C55*D55</f>
        <v>882.297511911064</v>
      </c>
      <c r="F55">
        <f>E55*12</f>
        <v>10587.570142932767</v>
      </c>
      <c r="G55">
        <f>E55*6</f>
        <v>5293.785071466384</v>
      </c>
      <c r="H55" t="str">
        <v/>
      </c>
      <c r="I55">
        <f>E55*Assumptions!$B$4</f>
        <v>83333</v>
      </c>
      <c r="J55">
        <f>F55*Assumptions!$B$4</f>
        <v>999995.9999999999</v>
      </c>
      <c r="K55">
        <f>G55*Assumptions!$B$4</f>
        <v>499997.99999999994</v>
      </c>
    </row>
    <row r="56">
      <c r="A56" t="str">
        <v>DevOps</v>
      </c>
      <c r="B56" t="str">
        <v>Person</v>
      </c>
      <c r="C56">
        <v>0.5</v>
      </c>
      <c r="D56">
        <f>Assumptions!$B$13/Assumptions!$B$4</f>
        <v>1941.0587612493382</v>
      </c>
      <c r="E56">
        <f>C56*D56</f>
        <v>970.5293806246691</v>
      </c>
      <c r="F56">
        <f>E56*12</f>
        <v>11646.35256749603</v>
      </c>
      <c r="G56">
        <f>E56*6</f>
        <v>5823.176283748015</v>
      </c>
      <c r="H56" t="str">
        <v/>
      </c>
      <c r="I56">
        <f>E56*Assumptions!$B$4</f>
        <v>91666.5</v>
      </c>
      <c r="J56">
        <f>F56*Assumptions!$B$4</f>
        <v>1099998</v>
      </c>
      <c r="K56">
        <f>G56*Assumptions!$B$4</f>
        <v>549999</v>
      </c>
    </row>
    <row r="57">
      <c r="A57" t="str">
        <v>Office Space (Bangalore)</v>
      </c>
      <c r="B57" t="str">
        <v>Month</v>
      </c>
      <c r="C57">
        <v>1</v>
      </c>
      <c r="D57">
        <v>2500</v>
      </c>
      <c r="E57">
        <f>C57*D57</f>
        <v>2500</v>
      </c>
      <c r="F57">
        <f>E57*12</f>
        <v>30000</v>
      </c>
      <c r="G57">
        <f>E57*6</f>
        <v>15000</v>
      </c>
      <c r="H57" t="str">
        <v/>
      </c>
      <c r="I57">
        <f>E57*Assumptions!$B$4</f>
        <v>236125</v>
      </c>
      <c r="J57">
        <f>F57*Assumptions!$B$4</f>
        <v>2833500</v>
      </c>
      <c r="K57">
        <f>G57*Assumptions!$B$4</f>
        <v>1416750</v>
      </c>
    </row>
    <row r="58">
      <c r="A58" t="str">
        <v>Utilities &amp; Internet</v>
      </c>
      <c r="B58" t="str">
        <v>Month</v>
      </c>
      <c r="C58">
        <v>1</v>
      </c>
      <c r="D58">
        <v>500</v>
      </c>
      <c r="E58">
        <f>C58*D58</f>
        <v>500</v>
      </c>
      <c r="F58">
        <f>E58*12</f>
        <v>6000</v>
      </c>
      <c r="G58">
        <f>E58*6</f>
        <v>3000</v>
      </c>
      <c r="H58" t="str">
        <v/>
      </c>
      <c r="I58">
        <f>E58*Assumptions!$B$4</f>
        <v>47225</v>
      </c>
      <c r="J58">
        <f>F58*Assumptions!$B$4</f>
        <v>566700</v>
      </c>
      <c r="K58">
        <f>G58*Assumptions!$B$4</f>
        <v>283350</v>
      </c>
    </row>
    <row r="59">
      <c r="A59" t="str">
        <v>Team Subtotal</v>
      </c>
      <c r="B59" t="str">
        <v/>
      </c>
      <c r="C59" t="str">
        <v/>
      </c>
      <c r="D59" t="str">
        <v/>
      </c>
      <c r="E59">
        <f>SUM(E53:E58)</f>
        <v>10323.086289041821</v>
      </c>
      <c r="F59">
        <f>E59*12</f>
        <v>123877.03546850185</v>
      </c>
      <c r="G59">
        <f>E59*6</f>
        <v>61938.51773425093</v>
      </c>
      <c r="H59" t="str">
        <v/>
      </c>
      <c r="I59">
        <f>E59*Assumptions!$B$4</f>
        <v>975015.5</v>
      </c>
      <c r="J59">
        <f>F59*Assumptions!$B$4</f>
        <v>11700186</v>
      </c>
      <c r="K59">
        <f>G59*Assumptions!$B$4</f>
        <v>5850093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Customer Acquisition (CAC-based)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New user acquisition (paid + organic, blended)</v>
      </c>
      <c r="B62" t="str">
        <v>New users/mo</v>
      </c>
      <c r="C62">
        <v>180</v>
      </c>
      <c r="D62">
        <f>Assumptions!$B$24</f>
        <v>8</v>
      </c>
      <c r="E62">
        <f>C62*D62</f>
        <v>1440</v>
      </c>
      <c r="F62">
        <f>E62*12</f>
        <v>17280</v>
      </c>
      <c r="G62">
        <f>E62*6</f>
        <v>8640</v>
      </c>
      <c r="H62" t="str">
        <v>900 net-new users over Months 2-6 (100→1,000) ÷ 5mo = 180/mo net-new × Year 1 blended CAC ($8). Added 2026-09-08 -- previously the CAC stated in the Pitch Deck's unit-economics table was never charged against this cost model.</v>
      </c>
      <c r="I62">
        <f>E62*Assumptions!$B$4</f>
        <v>136008</v>
      </c>
      <c r="J62">
        <f>F62*Assumptions!$B$4</f>
        <v>1632096</v>
      </c>
      <c r="K62">
        <f>G62*Assumptions!$B$4</f>
        <v>816048</v>
      </c>
    </row>
    <row r="63">
      <c r="A63" t="str">
        <v>Customer Acquisition Subtotal</v>
      </c>
      <c r="B63" t="str">
        <v/>
      </c>
      <c r="C63" t="str">
        <v/>
      </c>
      <c r="D63" t="str">
        <v/>
      </c>
      <c r="E63">
        <f>SUM(E62:E62)</f>
        <v>1440</v>
      </c>
      <c r="F63">
        <f>E63*12</f>
        <v>17280</v>
      </c>
      <c r="G63">
        <f>E63*6</f>
        <v>8640</v>
      </c>
      <c r="H63" t="str">
        <v/>
      </c>
      <c r="I63">
        <f>E63*Assumptions!$B$4</f>
        <v>136008</v>
      </c>
      <c r="J63">
        <f>F63*Assumptions!$B$4</f>
        <v>1632096</v>
      </c>
      <c r="K63">
        <f>G63*Assumptions!$B$4</f>
        <v>816048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>Operating Costs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SaaS Tools (Jira, Slack, etc.)</v>
      </c>
      <c r="B66" t="str">
        <v>Month</v>
      </c>
      <c r="C66">
        <v>1</v>
      </c>
      <c r="D66">
        <v>300</v>
      </c>
      <c r="E66">
        <f>C66*D66</f>
        <v>300</v>
      </c>
      <c r="F66">
        <f>E66*12</f>
        <v>3600</v>
      </c>
      <c r="G66">
        <f>E66*6</f>
        <v>1800</v>
      </c>
      <c r="H66" t="str">
        <v/>
      </c>
      <c r="I66">
        <f>E66*Assumptions!$B$4</f>
        <v>28335</v>
      </c>
      <c r="J66">
        <f>F66*Assumptions!$B$4</f>
        <v>340020</v>
      </c>
      <c r="K66">
        <f>G66*Assumptions!$B$4</f>
        <v>170010</v>
      </c>
    </row>
    <row r="67">
      <c r="A67" t="str">
        <v>DevOps Tools (CI/CD, monitoring)</v>
      </c>
      <c r="B67" t="str">
        <v>Month</v>
      </c>
      <c r="C67">
        <v>1</v>
      </c>
      <c r="D67">
        <v>200</v>
      </c>
      <c r="E67">
        <f>C67*D67</f>
        <v>200</v>
      </c>
      <c r="F67">
        <f>E67*12</f>
        <v>2400</v>
      </c>
      <c r="G67">
        <f>E67*6</f>
        <v>1200</v>
      </c>
      <c r="H67" t="str">
        <v/>
      </c>
      <c r="I67">
        <f>E67*Assumptions!$B$4</f>
        <v>18890</v>
      </c>
      <c r="J67">
        <f>F67*Assumptions!$B$4</f>
        <v>226680</v>
      </c>
      <c r="K67">
        <f>G67*Assumptions!$B$4</f>
        <v>113340</v>
      </c>
    </row>
    <row r="68">
      <c r="A68" t="str">
        <v>Communication &amp; Collaboration</v>
      </c>
      <c r="B68" t="str">
        <v>Month</v>
      </c>
      <c r="C68">
        <v>1</v>
      </c>
      <c r="D68">
        <v>150</v>
      </c>
      <c r="E68">
        <f>C68*D68</f>
        <v>150</v>
      </c>
      <c r="F68">
        <f>E68*12</f>
        <v>1800</v>
      </c>
      <c r="G68">
        <f>E68*6</f>
        <v>900</v>
      </c>
      <c r="H68" t="str">
        <v/>
      </c>
      <c r="I68">
        <f>E68*Assumptions!$B$4</f>
        <v>14167.5</v>
      </c>
      <c r="J68">
        <f>F68*Assumptions!$B$4</f>
        <v>170010</v>
      </c>
      <c r="K68">
        <f>G68*Assumptions!$B$4</f>
        <v>85005</v>
      </c>
    </row>
    <row r="69">
      <c r="A69" t="str">
        <v>Professional Development</v>
      </c>
      <c r="B69" t="str">
        <v>Month</v>
      </c>
      <c r="C69">
        <v>1</v>
      </c>
      <c r="D69">
        <v>200</v>
      </c>
      <c r="E69">
        <f>C69*D69</f>
        <v>200</v>
      </c>
      <c r="F69">
        <f>E69*12</f>
        <v>2400</v>
      </c>
      <c r="G69">
        <f>E69*6</f>
        <v>1200</v>
      </c>
      <c r="H69" t="str">
        <v/>
      </c>
      <c r="I69">
        <f>E69*Assumptions!$B$4</f>
        <v>18890</v>
      </c>
      <c r="J69">
        <f>F69*Assumptions!$B$4</f>
        <v>226680</v>
      </c>
      <c r="K69">
        <f>G69*Assumptions!$B$4</f>
        <v>113340</v>
      </c>
    </row>
    <row r="70">
      <c r="A70" t="str">
        <v>Insurance &amp; Compliance</v>
      </c>
      <c r="B70" t="str">
        <v>Month</v>
      </c>
      <c r="C70">
        <v>1</v>
      </c>
      <c r="D70">
        <v>300</v>
      </c>
      <c r="E70">
        <f>C70*D70</f>
        <v>300</v>
      </c>
      <c r="F70">
        <f>E70*12</f>
        <v>3600</v>
      </c>
      <c r="G70">
        <f>E70*6</f>
        <v>1800</v>
      </c>
      <c r="H70" t="str">
        <v/>
      </c>
      <c r="I70">
        <f>E70*Assumptions!$B$4</f>
        <v>28335</v>
      </c>
      <c r="J70">
        <f>F70*Assumptions!$B$4</f>
        <v>340020</v>
      </c>
      <c r="K70">
        <f>G70*Assumptions!$B$4</f>
        <v>170010</v>
      </c>
    </row>
    <row r="71">
      <c r="A71" t="str">
        <v>Marketing &amp; Community</v>
      </c>
      <c r="B71" t="str">
        <v>Month</v>
      </c>
      <c r="C71">
        <v>1</v>
      </c>
      <c r="D71">
        <v>500</v>
      </c>
      <c r="E71">
        <f>C71*D71</f>
        <v>500</v>
      </c>
      <c r="F71">
        <f>E71*12</f>
        <v>6000</v>
      </c>
      <c r="G71">
        <f>E71*6</f>
        <v>3000</v>
      </c>
      <c r="H71" t="str">
        <v/>
      </c>
      <c r="I71">
        <f>E71*Assumptions!$B$4</f>
        <v>47225</v>
      </c>
      <c r="J71">
        <f>F71*Assumptions!$B$4</f>
        <v>566700</v>
      </c>
      <c r="K71">
        <f>G71*Assumptions!$B$4</f>
        <v>283350</v>
      </c>
    </row>
    <row r="72">
      <c r="A72" t="str">
        <v>Operating Subtotal</v>
      </c>
      <c r="B72" t="str">
        <v/>
      </c>
      <c r="C72" t="str">
        <v/>
      </c>
      <c r="D72" t="str">
        <v/>
      </c>
      <c r="E72">
        <f>SUM(E66:E71)</f>
        <v>1650</v>
      </c>
      <c r="F72">
        <f>E72*12</f>
        <v>19800</v>
      </c>
      <c r="G72">
        <f>E72*6</f>
        <v>9900</v>
      </c>
      <c r="H72" t="str">
        <v/>
      </c>
      <c r="I72">
        <f>E72*Assumptions!$B$4</f>
        <v>155842.5</v>
      </c>
      <c r="J72">
        <f>F72*Assumptions!$B$4</f>
        <v>1870110</v>
      </c>
      <c r="K72">
        <f>G72*Assumptions!$B$4</f>
        <v>935055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>TOTAL MONTHLY COST</v>
      </c>
      <c r="B74" t="str">
        <v/>
      </c>
      <c r="C74" t="str">
        <v/>
      </c>
      <c r="D74" t="str">
        <v/>
      </c>
      <c r="E74">
        <f>E50+E59+E63+E72</f>
        <v>14008.086289041821</v>
      </c>
      <c r="F74">
        <f>E74*12</f>
        <v>168097.03546850185</v>
      </c>
      <c r="G74">
        <f>E74*6</f>
        <v>84048.51773425093</v>
      </c>
      <c r="H74" t="str">
        <v/>
      </c>
      <c r="I74">
        <f>E74*Assumptions!$B$4</f>
        <v>1323063.75</v>
      </c>
      <c r="J74">
        <f>F74*Assumptions!$B$4</f>
        <v>15876765</v>
      </c>
      <c r="K74">
        <f>G74*Assumptions!$B$4</f>
        <v>7938382.5</v>
      </c>
    </row>
    <row r="75">
      <c r="A75" t="str">
        <v>Cost per User (Monthly)</v>
      </c>
      <c r="B75" t="str">
        <v/>
      </c>
      <c r="C75" t="str">
        <v/>
      </c>
      <c r="D75" t="str">
        <v/>
      </c>
      <c r="E75">
        <f>E74/1000</f>
        <v>14.00808628904182</v>
      </c>
      <c r="F75" t="str">
        <v/>
      </c>
      <c r="G75" t="str">
        <v/>
      </c>
      <c r="H75" t="str">
        <v/>
      </c>
      <c r="I75">
        <f>E75*Assumptions!$B$4</f>
        <v>1323.06375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Month 12 — 5,000 Users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Category</v>
      </c>
      <c r="B79" t="str">
        <v>Unit</v>
      </c>
      <c r="C79" t="str">
        <v>Quantity</v>
      </c>
      <c r="D79" t="str">
        <v>Unit Cost (USD)</v>
      </c>
      <c r="E79" t="str">
        <v>Monthly Cost (USD)</v>
      </c>
      <c r="F79" t="str">
        <v>Annual Cost (USD)</v>
      </c>
      <c r="G79" t="str">
        <v>6-Month Cost (USD)</v>
      </c>
      <c r="H79" t="str">
        <v>Notes</v>
      </c>
      <c r="I79" t="str">
        <v>Monthly Cost (INR)</v>
      </c>
      <c r="J79" t="str">
        <v>Annual Cost (INR)</v>
      </c>
      <c r="K79" t="str">
        <v>6-Month Cost (INR)</v>
      </c>
    </row>
    <row r="80">
      <c r="A80" t="str">
        <v>AWS Infrastructure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compute</v>
      </c>
      <c r="B81" t="str">
        <v>Month</v>
      </c>
      <c r="C81">
        <v>1</v>
      </c>
      <c r="D81">
        <v>600</v>
      </c>
      <c r="E81">
        <f>C81*D81</f>
        <v>600</v>
      </c>
      <c r="F81">
        <f>E81*12</f>
        <v>7200</v>
      </c>
      <c r="G81">
        <f>E81*6</f>
        <v>3600</v>
      </c>
      <c r="H81" t="str">
        <v/>
      </c>
      <c r="I81">
        <f>E81*Assumptions!$B$4</f>
        <v>56670</v>
      </c>
      <c r="J81">
        <f>F81*Assumptions!$B$4</f>
        <v>680040</v>
      </c>
      <c r="K81">
        <f>G81*Assumptions!$B$4</f>
        <v>340020</v>
      </c>
    </row>
    <row r="82">
      <c r="A82" t="str">
        <v>database</v>
      </c>
      <c r="B82" t="str">
        <v>Month</v>
      </c>
      <c r="C82">
        <v>1</v>
      </c>
      <c r="D82">
        <v>400</v>
      </c>
      <c r="E82">
        <f>C82*D82</f>
        <v>400</v>
      </c>
      <c r="F82">
        <f>E82*12</f>
        <v>4800</v>
      </c>
      <c r="G82">
        <f>E82*6</f>
        <v>2400</v>
      </c>
      <c r="H82" t="str">
        <v/>
      </c>
      <c r="I82">
        <f>E82*Assumptions!$B$4</f>
        <v>37780</v>
      </c>
      <c r="J82">
        <f>F82*Assumptions!$B$4</f>
        <v>453360</v>
      </c>
      <c r="K82">
        <f>G82*Assumptions!$B$4</f>
        <v>226680</v>
      </c>
    </row>
    <row r="83">
      <c r="A83" t="str">
        <v>storage</v>
      </c>
      <c r="B83" t="str">
        <v>Month</v>
      </c>
      <c r="C83">
        <v>1</v>
      </c>
      <c r="D83">
        <v>150</v>
      </c>
      <c r="E83">
        <f>C83*D83</f>
        <v>150</v>
      </c>
      <c r="F83">
        <f>E83*12</f>
        <v>1800</v>
      </c>
      <c r="G83">
        <f>E83*6</f>
        <v>900</v>
      </c>
      <c r="H83" t="str">
        <v/>
      </c>
      <c r="I83">
        <f>E83*Assumptions!$B$4</f>
        <v>14167.5</v>
      </c>
      <c r="J83">
        <f>F83*Assumptions!$B$4</f>
        <v>170010</v>
      </c>
      <c r="K83">
        <f>G83*Assumptions!$B$4</f>
        <v>85005</v>
      </c>
    </row>
    <row r="84">
      <c r="A84" t="str">
        <v>networking</v>
      </c>
      <c r="B84" t="str">
        <v>Month</v>
      </c>
      <c r="C84">
        <v>1</v>
      </c>
      <c r="D84">
        <v>100</v>
      </c>
      <c r="E84">
        <f>C84*D84</f>
        <v>100</v>
      </c>
      <c r="F84">
        <f>E84*12</f>
        <v>1200</v>
      </c>
      <c r="G84">
        <f>E84*6</f>
        <v>600</v>
      </c>
      <c r="H84" t="str">
        <v/>
      </c>
      <c r="I84">
        <f>E84*Assumptions!$B$4</f>
        <v>9445</v>
      </c>
      <c r="J84">
        <f>F84*Assumptions!$B$4</f>
        <v>113340</v>
      </c>
      <c r="K84">
        <f>G84*Assumptions!$B$4</f>
        <v>56670</v>
      </c>
    </row>
    <row r="85">
      <c r="A85" t="str">
        <v>data_transfer</v>
      </c>
      <c r="B85" t="str">
        <v>Month</v>
      </c>
      <c r="C85">
        <v>1</v>
      </c>
      <c r="D85">
        <v>120</v>
      </c>
      <c r="E85">
        <f>C85*D85</f>
        <v>120</v>
      </c>
      <c r="F85">
        <f>E85*12</f>
        <v>1440</v>
      </c>
      <c r="G85">
        <f>E85*6</f>
        <v>720</v>
      </c>
      <c r="H85" t="str">
        <v/>
      </c>
      <c r="I85">
        <f>E85*Assumptions!$B$4</f>
        <v>11334</v>
      </c>
      <c r="J85">
        <f>F85*Assumptions!$B$4</f>
        <v>136008</v>
      </c>
      <c r="K85">
        <f>G85*Assumptions!$B$4</f>
        <v>68004</v>
      </c>
    </row>
    <row r="86">
      <c r="A86" t="str">
        <v>monitoring</v>
      </c>
      <c r="B86" t="str">
        <v>Month</v>
      </c>
      <c r="C86">
        <v>1</v>
      </c>
      <c r="D86">
        <v>40</v>
      </c>
      <c r="E86">
        <f>C86*D86</f>
        <v>40</v>
      </c>
      <c r="F86">
        <f>E86*12</f>
        <v>480</v>
      </c>
      <c r="G86">
        <f>E86*6</f>
        <v>240</v>
      </c>
      <c r="H86" t="str">
        <v/>
      </c>
      <c r="I86">
        <f>E86*Assumptions!$B$4</f>
        <v>3778</v>
      </c>
      <c r="J86">
        <f>F86*Assumptions!$B$4</f>
        <v>45336</v>
      </c>
      <c r="K86">
        <f>G86*Assumptions!$B$4</f>
        <v>22668</v>
      </c>
    </row>
    <row r="87">
      <c r="A87" t="str">
        <v>backups</v>
      </c>
      <c r="B87" t="str">
        <v>Month</v>
      </c>
      <c r="C87">
        <v>1</v>
      </c>
      <c r="D87">
        <v>60</v>
      </c>
      <c r="E87">
        <f>C87*D87</f>
        <v>60</v>
      </c>
      <c r="F87">
        <f>E87*12</f>
        <v>720</v>
      </c>
      <c r="G87">
        <f>E87*6</f>
        <v>360</v>
      </c>
      <c r="H87" t="str">
        <v/>
      </c>
      <c r="I87">
        <f>E87*Assumptions!$B$4</f>
        <v>5667</v>
      </c>
      <c r="J87">
        <f>F87*Assumptions!$B$4</f>
        <v>68004</v>
      </c>
      <c r="K87">
        <f>G87*Assumptions!$B$4</f>
        <v>34002</v>
      </c>
    </row>
    <row r="88">
      <c r="A88" t="str">
        <v>AWS Subtotal</v>
      </c>
      <c r="B88" t="str">
        <v/>
      </c>
      <c r="C88" t="str">
        <v/>
      </c>
      <c r="D88" t="str">
        <v/>
      </c>
      <c r="E88">
        <f>SUM(E81:E87)</f>
        <v>1470</v>
      </c>
      <c r="F88">
        <f>E88*12</f>
        <v>17640</v>
      </c>
      <c r="G88">
        <f>E88*6</f>
        <v>8820</v>
      </c>
      <c r="H88" t="str">
        <v/>
      </c>
      <c r="I88">
        <f>E88*Assumptions!$B$4</f>
        <v>138841.5</v>
      </c>
      <c r="J88">
        <f>F88*Assumptions!$B$4</f>
        <v>1666098</v>
      </c>
      <c r="K88">
        <f>G88*Assumptions!$B$4</f>
        <v>833049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Engineering Team (India-based)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Senior Dev</v>
      </c>
      <c r="B91" t="str">
        <v>Person</v>
      </c>
      <c r="C91">
        <v>2</v>
      </c>
      <c r="D91">
        <f>Assumptions!$B$11/Assumptions!$B$4</f>
        <v>3529.2006352567496</v>
      </c>
      <c r="E91">
        <f>C91*D91</f>
        <v>7058.401270513499</v>
      </c>
      <c r="F91">
        <f>E91*12</f>
        <v>84700.81524616199</v>
      </c>
      <c r="G91">
        <f>E91*6</f>
        <v>42350.407623080995</v>
      </c>
      <c r="H91" t="str">
        <v/>
      </c>
      <c r="I91">
        <f>E91*Assumptions!$B$4</f>
        <v>666666</v>
      </c>
      <c r="J91">
        <f>F91*Assumptions!$B$4</f>
        <v>7999992</v>
      </c>
      <c r="K91">
        <f>G91*Assumptions!$B$4</f>
        <v>3999996</v>
      </c>
    </row>
    <row r="92">
      <c r="A92" t="str">
        <v>Mid-level Dev</v>
      </c>
      <c r="B92" t="str">
        <v>Person</v>
      </c>
      <c r="C92">
        <v>2</v>
      </c>
      <c r="D92">
        <f>Assumptions!$B$10/Assumptions!$B$4</f>
        <v>1941.0587612493382</v>
      </c>
      <c r="E92">
        <f>C92*D92</f>
        <v>3882.1175224986764</v>
      </c>
      <c r="F92">
        <f>E92*12</f>
        <v>46585.41026998412</v>
      </c>
      <c r="G92">
        <f>E92*6</f>
        <v>23292.70513499206</v>
      </c>
      <c r="H92" t="str">
        <v/>
      </c>
      <c r="I92">
        <f>E92*Assumptions!$B$4</f>
        <v>366666</v>
      </c>
      <c r="J92">
        <f>F92*Assumptions!$B$4</f>
        <v>4399992</v>
      </c>
      <c r="K92">
        <f>G92*Assumptions!$B$4</f>
        <v>2199996</v>
      </c>
    </row>
    <row r="93">
      <c r="A93" t="str">
        <v>Junior Dev</v>
      </c>
      <c r="B93" t="str">
        <v>Person</v>
      </c>
      <c r="C93">
        <v>2</v>
      </c>
      <c r="D93">
        <f>Assumptions!$B$9/Assumptions!$B$4</f>
        <v>882.297511911064</v>
      </c>
      <c r="E93">
        <f>C93*D93</f>
        <v>1764.595023822128</v>
      </c>
      <c r="F93">
        <f>E93*12</f>
        <v>21175.140285865535</v>
      </c>
      <c r="G93">
        <f>E93*6</f>
        <v>10587.570142932767</v>
      </c>
      <c r="H93" t="str">
        <v/>
      </c>
      <c r="I93">
        <f>E93*Assumptions!$B$4</f>
        <v>166666</v>
      </c>
      <c r="J93">
        <f>F93*Assumptions!$B$4</f>
        <v>1999991.9999999998</v>
      </c>
      <c r="K93">
        <f>G93*Assumptions!$B$4</f>
        <v>999995.9999999999</v>
      </c>
    </row>
    <row r="94">
      <c r="A94" t="str">
        <v>DevOps</v>
      </c>
      <c r="B94" t="str">
        <v>Person</v>
      </c>
      <c r="C94">
        <v>1</v>
      </c>
      <c r="D94">
        <f>Assumptions!$B$13/Assumptions!$B$4</f>
        <v>1941.0587612493382</v>
      </c>
      <c r="E94">
        <f>C94*D94</f>
        <v>1941.0587612493382</v>
      </c>
      <c r="F94">
        <f>E94*12</f>
        <v>23292.70513499206</v>
      </c>
      <c r="G94">
        <f>E94*6</f>
        <v>11646.35256749603</v>
      </c>
      <c r="H94" t="str">
        <v/>
      </c>
      <c r="I94">
        <f>E94*Assumptions!$B$4</f>
        <v>183333</v>
      </c>
      <c r="J94">
        <f>F94*Assumptions!$B$4</f>
        <v>2199996</v>
      </c>
      <c r="K94">
        <f>G94*Assumptions!$B$4</f>
        <v>1099998</v>
      </c>
    </row>
    <row r="95">
      <c r="A95" t="str">
        <v>QA</v>
      </c>
      <c r="B95" t="str">
        <v>Person</v>
      </c>
      <c r="C95">
        <v>1</v>
      </c>
      <c r="D95">
        <f>Assumptions!$B$14/Assumptions!$B$4</f>
        <v>1058.7612493382742</v>
      </c>
      <c r="E95">
        <f>C95*D95</f>
        <v>1058.7612493382742</v>
      </c>
      <c r="F95">
        <f>E95*12</f>
        <v>12705.134992059291</v>
      </c>
      <c r="G95">
        <f>E95*6</f>
        <v>6352.567496029646</v>
      </c>
      <c r="H95" t="str">
        <v/>
      </c>
      <c r="I95">
        <f>E95*Assumptions!$B$4</f>
        <v>100000</v>
      </c>
      <c r="J95">
        <f>F95*Assumptions!$B$4</f>
        <v>1200000</v>
      </c>
      <c r="K95">
        <f>G95*Assumptions!$B$4</f>
        <v>600000</v>
      </c>
    </row>
    <row r="96">
      <c r="A96" t="str">
        <v>Office Space (Bangalore)</v>
      </c>
      <c r="B96" t="str">
        <v>Month</v>
      </c>
      <c r="C96">
        <v>1</v>
      </c>
      <c r="D96">
        <v>2500</v>
      </c>
      <c r="E96">
        <f>C96*D96</f>
        <v>2500</v>
      </c>
      <c r="F96">
        <f>E96*12</f>
        <v>30000</v>
      </c>
      <c r="G96">
        <f>E96*6</f>
        <v>15000</v>
      </c>
      <c r="H96" t="str">
        <v/>
      </c>
      <c r="I96">
        <f>E96*Assumptions!$B$4</f>
        <v>236125</v>
      </c>
      <c r="J96">
        <f>F96*Assumptions!$B$4</f>
        <v>2833500</v>
      </c>
      <c r="K96">
        <f>G96*Assumptions!$B$4</f>
        <v>1416750</v>
      </c>
    </row>
    <row r="97">
      <c r="A97" t="str">
        <v>Utilities &amp; Internet</v>
      </c>
      <c r="B97" t="str">
        <v>Month</v>
      </c>
      <c r="C97">
        <v>1</v>
      </c>
      <c r="D97">
        <v>500</v>
      </c>
      <c r="E97">
        <f>C97*D97</f>
        <v>500</v>
      </c>
      <c r="F97">
        <f>E97*12</f>
        <v>6000</v>
      </c>
      <c r="G97">
        <f>E97*6</f>
        <v>3000</v>
      </c>
      <c r="H97" t="str">
        <v/>
      </c>
      <c r="I97">
        <f>E97*Assumptions!$B$4</f>
        <v>47225</v>
      </c>
      <c r="J97">
        <f>F97*Assumptions!$B$4</f>
        <v>566700</v>
      </c>
      <c r="K97">
        <f>G97*Assumptions!$B$4</f>
        <v>283350</v>
      </c>
    </row>
    <row r="98">
      <c r="A98" t="str">
        <v>Team Subtotal</v>
      </c>
      <c r="B98" t="str">
        <v/>
      </c>
      <c r="C98" t="str">
        <v/>
      </c>
      <c r="D98" t="str">
        <v/>
      </c>
      <c r="E98">
        <f>SUM(E91:E97)</f>
        <v>18704.93382742192</v>
      </c>
      <c r="F98">
        <f>E98*12</f>
        <v>224459.20592906303</v>
      </c>
      <c r="G98">
        <f>E98*6</f>
        <v>112229.60296453151</v>
      </c>
      <c r="H98" t="str">
        <v/>
      </c>
      <c r="I98">
        <f>E98*Assumptions!$B$4</f>
        <v>1766681.0000000002</v>
      </c>
      <c r="J98">
        <f>F98*Assumptions!$B$4</f>
        <v>21200172.000000004</v>
      </c>
      <c r="K98">
        <f>G98*Assumptions!$B$4</f>
        <v>10600086.000000002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Customer Acquisition (CAC-based)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New user acquisition (paid + organic, blended)</v>
      </c>
      <c r="B101" t="str">
        <v>New users/mo</v>
      </c>
      <c r="C101">
        <v>667</v>
      </c>
      <c r="D101">
        <f>Assumptions!$B$24</f>
        <v>8</v>
      </c>
      <c r="E101">
        <f>C101*D101</f>
        <v>5336</v>
      </c>
      <c r="F101">
        <f>E101*12</f>
        <v>64032</v>
      </c>
      <c r="G101">
        <f>E101*6</f>
        <v>32016</v>
      </c>
      <c r="H101" t="str">
        <v>4,000 net-new users over Months 7-12 (1,000→5,000) ÷ 6mo = 667/mo net-new × Year 1 blended CAC ($8). Added 2026-09-08 -- previously the CAC stated in the Pitch Deck's unit-economics table was never charged against this cost model.</v>
      </c>
      <c r="I101">
        <f>E101*Assumptions!$B$4</f>
        <v>503985.2</v>
      </c>
      <c r="J101">
        <f>F101*Assumptions!$B$4</f>
        <v>6047822.4</v>
      </c>
      <c r="K101">
        <f>G101*Assumptions!$B$4</f>
        <v>3023911.2</v>
      </c>
    </row>
    <row r="102">
      <c r="A102" t="str">
        <v>Customer Acquisition Subtotal</v>
      </c>
      <c r="B102" t="str">
        <v/>
      </c>
      <c r="C102" t="str">
        <v/>
      </c>
      <c r="D102" t="str">
        <v/>
      </c>
      <c r="E102">
        <f>SUM(E101:E101)</f>
        <v>5336</v>
      </c>
      <c r="F102">
        <f>E102*12</f>
        <v>64032</v>
      </c>
      <c r="G102">
        <f>E102*6</f>
        <v>32016</v>
      </c>
      <c r="H102" t="str">
        <v/>
      </c>
      <c r="I102">
        <f>E102*Assumptions!$B$4</f>
        <v>503985.2</v>
      </c>
      <c r="J102">
        <f>F102*Assumptions!$B$4</f>
        <v>6047822.4</v>
      </c>
      <c r="K102">
        <f>G102*Assumptions!$B$4</f>
        <v>3023911.2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Operating Costs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SaaS Tools (Jira, Slack, etc.)</v>
      </c>
      <c r="B105" t="str">
        <v>Month</v>
      </c>
      <c r="C105">
        <v>1</v>
      </c>
      <c r="D105">
        <v>300</v>
      </c>
      <c r="E105">
        <f>C105*D105</f>
        <v>300</v>
      </c>
      <c r="F105">
        <f>E105*12</f>
        <v>3600</v>
      </c>
      <c r="G105">
        <f>E105*6</f>
        <v>1800</v>
      </c>
      <c r="H105" t="str">
        <v/>
      </c>
      <c r="I105">
        <f>E105*Assumptions!$B$4</f>
        <v>28335</v>
      </c>
      <c r="J105">
        <f>F105*Assumptions!$B$4</f>
        <v>340020</v>
      </c>
      <c r="K105">
        <f>G105*Assumptions!$B$4</f>
        <v>170010</v>
      </c>
    </row>
    <row r="106">
      <c r="A106" t="str">
        <v>DevOps Tools (CI/CD, monitoring)</v>
      </c>
      <c r="B106" t="str">
        <v>Month</v>
      </c>
      <c r="C106">
        <v>1</v>
      </c>
      <c r="D106">
        <v>200</v>
      </c>
      <c r="E106">
        <f>C106*D106</f>
        <v>200</v>
      </c>
      <c r="F106">
        <f>E106*12</f>
        <v>2400</v>
      </c>
      <c r="G106">
        <f>E106*6</f>
        <v>1200</v>
      </c>
      <c r="H106" t="str">
        <v/>
      </c>
      <c r="I106">
        <f>E106*Assumptions!$B$4</f>
        <v>18890</v>
      </c>
      <c r="J106">
        <f>F106*Assumptions!$B$4</f>
        <v>226680</v>
      </c>
      <c r="K106">
        <f>G106*Assumptions!$B$4</f>
        <v>113340</v>
      </c>
    </row>
    <row r="107">
      <c r="A107" t="str">
        <v>Communication &amp; Collaboration</v>
      </c>
      <c r="B107" t="str">
        <v>Month</v>
      </c>
      <c r="C107">
        <v>1</v>
      </c>
      <c r="D107">
        <v>150</v>
      </c>
      <c r="E107">
        <f>C107*D107</f>
        <v>150</v>
      </c>
      <c r="F107">
        <f>E107*12</f>
        <v>1800</v>
      </c>
      <c r="G107">
        <f>E107*6</f>
        <v>900</v>
      </c>
      <c r="H107" t="str">
        <v/>
      </c>
      <c r="I107">
        <f>E107*Assumptions!$B$4</f>
        <v>14167.5</v>
      </c>
      <c r="J107">
        <f>F107*Assumptions!$B$4</f>
        <v>170010</v>
      </c>
      <c r="K107">
        <f>G107*Assumptions!$B$4</f>
        <v>85005</v>
      </c>
    </row>
    <row r="108">
      <c r="A108" t="str">
        <v>Professional Development</v>
      </c>
      <c r="B108" t="str">
        <v>Month</v>
      </c>
      <c r="C108">
        <v>1</v>
      </c>
      <c r="D108">
        <v>200</v>
      </c>
      <c r="E108">
        <f>C108*D108</f>
        <v>200</v>
      </c>
      <c r="F108">
        <f>E108*12</f>
        <v>2400</v>
      </c>
      <c r="G108">
        <f>E108*6</f>
        <v>1200</v>
      </c>
      <c r="H108" t="str">
        <v/>
      </c>
      <c r="I108">
        <f>E108*Assumptions!$B$4</f>
        <v>18890</v>
      </c>
      <c r="J108">
        <f>F108*Assumptions!$B$4</f>
        <v>226680</v>
      </c>
      <c r="K108">
        <f>G108*Assumptions!$B$4</f>
        <v>113340</v>
      </c>
    </row>
    <row r="109">
      <c r="A109" t="str">
        <v>Insurance &amp; Compliance</v>
      </c>
      <c r="B109" t="str">
        <v>Month</v>
      </c>
      <c r="C109">
        <v>1</v>
      </c>
      <c r="D109">
        <v>300</v>
      </c>
      <c r="E109">
        <f>C109*D109</f>
        <v>300</v>
      </c>
      <c r="F109">
        <f>E109*12</f>
        <v>3600</v>
      </c>
      <c r="G109">
        <f>E109*6</f>
        <v>1800</v>
      </c>
      <c r="H109" t="str">
        <v/>
      </c>
      <c r="I109">
        <f>E109*Assumptions!$B$4</f>
        <v>28335</v>
      </c>
      <c r="J109">
        <f>F109*Assumptions!$B$4</f>
        <v>340020</v>
      </c>
      <c r="K109">
        <f>G109*Assumptions!$B$4</f>
        <v>170010</v>
      </c>
    </row>
    <row r="110">
      <c r="A110" t="str">
        <v>Marketing &amp; Community</v>
      </c>
      <c r="B110" t="str">
        <v>Month</v>
      </c>
      <c r="C110">
        <v>1</v>
      </c>
      <c r="D110">
        <v>500</v>
      </c>
      <c r="E110">
        <f>C110*D110</f>
        <v>500</v>
      </c>
      <c r="F110">
        <f>E110*12</f>
        <v>6000</v>
      </c>
      <c r="G110">
        <f>E110*6</f>
        <v>3000</v>
      </c>
      <c r="H110" t="str">
        <v/>
      </c>
      <c r="I110">
        <f>E110*Assumptions!$B$4</f>
        <v>47225</v>
      </c>
      <c r="J110">
        <f>F110*Assumptions!$B$4</f>
        <v>566700</v>
      </c>
      <c r="K110">
        <f>G110*Assumptions!$B$4</f>
        <v>283350</v>
      </c>
    </row>
    <row r="111">
      <c r="A111" t="str">
        <v>Operating Subtotal</v>
      </c>
      <c r="B111" t="str">
        <v/>
      </c>
      <c r="C111" t="str">
        <v/>
      </c>
      <c r="D111" t="str">
        <v/>
      </c>
      <c r="E111">
        <f>SUM(E105:E110)</f>
        <v>1650</v>
      </c>
      <c r="F111">
        <f>E111*12</f>
        <v>19800</v>
      </c>
      <c r="G111">
        <f>E111*6</f>
        <v>9900</v>
      </c>
      <c r="H111" t="str">
        <v/>
      </c>
      <c r="I111">
        <f>E111*Assumptions!$B$4</f>
        <v>155842.5</v>
      </c>
      <c r="J111">
        <f>F111*Assumptions!$B$4</f>
        <v>1870110</v>
      </c>
      <c r="K111">
        <f>G111*Assumptions!$B$4</f>
        <v>935055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TOTAL MONTHLY COST</v>
      </c>
      <c r="B113" t="str">
        <v/>
      </c>
      <c r="C113" t="str">
        <v/>
      </c>
      <c r="D113" t="str">
        <v/>
      </c>
      <c r="E113">
        <f>E88+E98+E102+E111</f>
        <v>27160.93382742192</v>
      </c>
      <c r="F113">
        <f>E113*12</f>
        <v>325931.205929063</v>
      </c>
      <c r="G113">
        <f>E113*6</f>
        <v>162965.6029645315</v>
      </c>
      <c r="H113" t="str">
        <v/>
      </c>
      <c r="I113">
        <f>E113*Assumptions!$B$4</f>
        <v>2565350.2</v>
      </c>
      <c r="J113">
        <f>F113*Assumptions!$B$4</f>
        <v>30784202.400000002</v>
      </c>
      <c r="K113">
        <f>G113*Assumptions!$B$4</f>
        <v>15392101.200000001</v>
      </c>
    </row>
    <row r="114">
      <c r="A114" t="str">
        <v>Cost per User (Monthly)</v>
      </c>
      <c r="B114" t="str">
        <v/>
      </c>
      <c r="C114" t="str">
        <v/>
      </c>
      <c r="D114" t="str">
        <v/>
      </c>
      <c r="E114">
        <f>E113/5000</f>
        <v>5.432186765484384</v>
      </c>
      <c r="F114" t="str">
        <v/>
      </c>
      <c r="G114" t="str">
        <v/>
      </c>
      <c r="H114" t="str">
        <v/>
      </c>
      <c r="I114">
        <f>E114*Assumptions!$B$4</f>
        <v>513.0700400000001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Month 18 — 10,000 Users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Category</v>
      </c>
      <c r="B118" t="str">
        <v>Unit</v>
      </c>
      <c r="C118" t="str">
        <v>Quantity</v>
      </c>
      <c r="D118" t="str">
        <v>Unit Cost (USD)</v>
      </c>
      <c r="E118" t="str">
        <v>Monthly Cost (USD)</v>
      </c>
      <c r="F118" t="str">
        <v>Annual Cost (USD)</v>
      </c>
      <c r="G118" t="str">
        <v>6-Month Cost (USD)</v>
      </c>
      <c r="H118" t="str">
        <v>Notes</v>
      </c>
      <c r="I118" t="str">
        <v>Monthly Cost (INR)</v>
      </c>
      <c r="J118" t="str">
        <v>Annual Cost (INR)</v>
      </c>
      <c r="K118" t="str">
        <v>6-Month Cost (INR)</v>
      </c>
    </row>
    <row r="119">
      <c r="A119" t="str">
        <v>AWS Infrastructure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>compute</v>
      </c>
      <c r="B120" t="str">
        <v>Month</v>
      </c>
      <c r="C120">
        <v>1</v>
      </c>
      <c r="D120">
        <v>1200</v>
      </c>
      <c r="E120">
        <f>C120*D120</f>
        <v>1200</v>
      </c>
      <c r="F120">
        <f>E120*12</f>
        <v>14400</v>
      </c>
      <c r="G120">
        <f>E120*6</f>
        <v>7200</v>
      </c>
      <c r="H120" t="str">
        <v/>
      </c>
      <c r="I120">
        <f>E120*Assumptions!$B$4</f>
        <v>113340</v>
      </c>
      <c r="J120">
        <f>F120*Assumptions!$B$4</f>
        <v>1360080</v>
      </c>
      <c r="K120">
        <f>G120*Assumptions!$B$4</f>
        <v>680040</v>
      </c>
    </row>
    <row r="121">
      <c r="A121" t="str">
        <v>database</v>
      </c>
      <c r="B121" t="str">
        <v>Month</v>
      </c>
      <c r="C121">
        <v>1</v>
      </c>
      <c r="D121">
        <v>800</v>
      </c>
      <c r="E121">
        <f>C121*D121</f>
        <v>800</v>
      </c>
      <c r="F121">
        <f>E121*12</f>
        <v>9600</v>
      </c>
      <c r="G121">
        <f>E121*6</f>
        <v>4800</v>
      </c>
      <c r="H121" t="str">
        <v/>
      </c>
      <c r="I121">
        <f>E121*Assumptions!$B$4</f>
        <v>75560</v>
      </c>
      <c r="J121">
        <f>F121*Assumptions!$B$4</f>
        <v>906720</v>
      </c>
      <c r="K121">
        <f>G121*Assumptions!$B$4</f>
        <v>453360</v>
      </c>
    </row>
    <row r="122">
      <c r="A122" t="str">
        <v>storage</v>
      </c>
      <c r="B122" t="str">
        <v>Month</v>
      </c>
      <c r="C122">
        <v>1</v>
      </c>
      <c r="D122">
        <v>300</v>
      </c>
      <c r="E122">
        <f>C122*D122</f>
        <v>300</v>
      </c>
      <c r="F122">
        <f>E122*12</f>
        <v>3600</v>
      </c>
      <c r="G122">
        <f>E122*6</f>
        <v>1800</v>
      </c>
      <c r="H122" t="str">
        <v/>
      </c>
      <c r="I122">
        <f>E122*Assumptions!$B$4</f>
        <v>28335</v>
      </c>
      <c r="J122">
        <f>F122*Assumptions!$B$4</f>
        <v>340020</v>
      </c>
      <c r="K122">
        <f>G122*Assumptions!$B$4</f>
        <v>170010</v>
      </c>
    </row>
    <row r="123">
      <c r="A123" t="str">
        <v>networking</v>
      </c>
      <c r="B123" t="str">
        <v>Month</v>
      </c>
      <c r="C123">
        <v>1</v>
      </c>
      <c r="D123">
        <v>200</v>
      </c>
      <c r="E123">
        <f>C123*D123</f>
        <v>200</v>
      </c>
      <c r="F123">
        <f>E123*12</f>
        <v>2400</v>
      </c>
      <c r="G123">
        <f>E123*6</f>
        <v>1200</v>
      </c>
      <c r="H123" t="str">
        <v/>
      </c>
      <c r="I123">
        <f>E123*Assumptions!$B$4</f>
        <v>18890</v>
      </c>
      <c r="J123">
        <f>F123*Assumptions!$B$4</f>
        <v>226680</v>
      </c>
      <c r="K123">
        <f>G123*Assumptions!$B$4</f>
        <v>113340</v>
      </c>
    </row>
    <row r="124">
      <c r="A124" t="str">
        <v>data_transfer</v>
      </c>
      <c r="B124" t="str">
        <v>Month</v>
      </c>
      <c r="C124">
        <v>1</v>
      </c>
      <c r="D124">
        <v>250</v>
      </c>
      <c r="E124">
        <f>C124*D124</f>
        <v>250</v>
      </c>
      <c r="F124">
        <f>E124*12</f>
        <v>3000</v>
      </c>
      <c r="G124">
        <f>E124*6</f>
        <v>1500</v>
      </c>
      <c r="H124" t="str">
        <v/>
      </c>
      <c r="I124">
        <f>E124*Assumptions!$B$4</f>
        <v>23612.5</v>
      </c>
      <c r="J124">
        <f>F124*Assumptions!$B$4</f>
        <v>283350</v>
      </c>
      <c r="K124">
        <f>G124*Assumptions!$B$4</f>
        <v>141675</v>
      </c>
    </row>
    <row r="125">
      <c r="A125" t="str">
        <v>monitoring</v>
      </c>
      <c r="B125" t="str">
        <v>Month</v>
      </c>
      <c r="C125">
        <v>1</v>
      </c>
      <c r="D125">
        <v>75</v>
      </c>
      <c r="E125">
        <f>C125*D125</f>
        <v>75</v>
      </c>
      <c r="F125">
        <f>E125*12</f>
        <v>900</v>
      </c>
      <c r="G125">
        <f>E125*6</f>
        <v>450</v>
      </c>
      <c r="H125" t="str">
        <v/>
      </c>
      <c r="I125">
        <f>E125*Assumptions!$B$4</f>
        <v>7083.75</v>
      </c>
      <c r="J125">
        <f>F125*Assumptions!$B$4</f>
        <v>85005</v>
      </c>
      <c r="K125">
        <f>G125*Assumptions!$B$4</f>
        <v>42502.5</v>
      </c>
    </row>
    <row r="126">
      <c r="A126" t="str">
        <v>backups</v>
      </c>
      <c r="B126" t="str">
        <v>Month</v>
      </c>
      <c r="C126">
        <v>1</v>
      </c>
      <c r="D126">
        <v>125</v>
      </c>
      <c r="E126">
        <f>C126*D126</f>
        <v>125</v>
      </c>
      <c r="F126">
        <f>E126*12</f>
        <v>1500</v>
      </c>
      <c r="G126">
        <f>E126*6</f>
        <v>750</v>
      </c>
      <c r="H126" t="str">
        <v/>
      </c>
      <c r="I126">
        <f>E126*Assumptions!$B$4</f>
        <v>11806.25</v>
      </c>
      <c r="J126">
        <f>F126*Assumptions!$B$4</f>
        <v>141675</v>
      </c>
      <c r="K126">
        <f>G126*Assumptions!$B$4</f>
        <v>70837.5</v>
      </c>
    </row>
    <row r="127">
      <c r="A127" t="str">
        <v>AWS Subtotal</v>
      </c>
      <c r="B127" t="str">
        <v/>
      </c>
      <c r="C127" t="str">
        <v/>
      </c>
      <c r="D127" t="str">
        <v/>
      </c>
      <c r="E127">
        <f>SUM(E120:E126)</f>
        <v>2950</v>
      </c>
      <c r="F127">
        <f>E127*12</f>
        <v>35400</v>
      </c>
      <c r="G127">
        <f>E127*6</f>
        <v>17700</v>
      </c>
      <c r="H127" t="str">
        <v/>
      </c>
      <c r="I127">
        <f>E127*Assumptions!$B$4</f>
        <v>278627.5</v>
      </c>
      <c r="J127">
        <f>F127*Assumptions!$B$4</f>
        <v>3343530</v>
      </c>
      <c r="K127">
        <f>G127*Assumptions!$B$4</f>
        <v>1671765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Engineering Team (India-based)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>Senior Dev</v>
      </c>
      <c r="B130" t="str">
        <v>Person</v>
      </c>
      <c r="C130">
        <v>2</v>
      </c>
      <c r="D130">
        <f>Assumptions!$B$11/Assumptions!$B$4</f>
        <v>3529.2006352567496</v>
      </c>
      <c r="E130">
        <f>C130*D130</f>
        <v>7058.401270513499</v>
      </c>
      <c r="F130">
        <f>E130*12</f>
        <v>84700.81524616199</v>
      </c>
      <c r="G130">
        <f>E130*6</f>
        <v>42350.407623080995</v>
      </c>
      <c r="H130" t="str">
        <v/>
      </c>
      <c r="I130">
        <f>E130*Assumptions!$B$4</f>
        <v>666666</v>
      </c>
      <c r="J130">
        <f>F130*Assumptions!$B$4</f>
        <v>7999992</v>
      </c>
      <c r="K130">
        <f>G130*Assumptions!$B$4</f>
        <v>3999996</v>
      </c>
    </row>
    <row r="131">
      <c r="A131" t="str">
        <v>Mid-level Dev</v>
      </c>
      <c r="B131" t="str">
        <v>Person</v>
      </c>
      <c r="C131">
        <v>3</v>
      </c>
      <c r="D131">
        <f>Assumptions!$B$10/Assumptions!$B$4</f>
        <v>1941.0587612493382</v>
      </c>
      <c r="E131">
        <f>C131*D131</f>
        <v>5823.176283748015</v>
      </c>
      <c r="F131">
        <f>E131*12</f>
        <v>69878.11540497618</v>
      </c>
      <c r="G131">
        <f>E131*6</f>
        <v>34939.05770248809</v>
      </c>
      <c r="H131" t="str">
        <v/>
      </c>
      <c r="I131">
        <f>E131*Assumptions!$B$4</f>
        <v>549999</v>
      </c>
      <c r="J131">
        <f>F131*Assumptions!$B$4</f>
        <v>6599988.000000001</v>
      </c>
      <c r="K131">
        <f>G131*Assumptions!$B$4</f>
        <v>3299994.0000000005</v>
      </c>
    </row>
    <row r="132">
      <c r="A132" t="str">
        <v>Junior Dev</v>
      </c>
      <c r="B132" t="str">
        <v>Person</v>
      </c>
      <c r="C132">
        <v>2</v>
      </c>
      <c r="D132">
        <f>Assumptions!$B$9/Assumptions!$B$4</f>
        <v>882.297511911064</v>
      </c>
      <c r="E132">
        <f>C132*D132</f>
        <v>1764.595023822128</v>
      </c>
      <c r="F132">
        <f>E132*12</f>
        <v>21175.140285865535</v>
      </c>
      <c r="G132">
        <f>E132*6</f>
        <v>10587.570142932767</v>
      </c>
      <c r="H132" t="str">
        <v/>
      </c>
      <c r="I132">
        <f>E132*Assumptions!$B$4</f>
        <v>166666</v>
      </c>
      <c r="J132">
        <f>F132*Assumptions!$B$4</f>
        <v>1999991.9999999998</v>
      </c>
      <c r="K132">
        <f>G132*Assumptions!$B$4</f>
        <v>999995.9999999999</v>
      </c>
    </row>
    <row r="133">
      <c r="A133" t="str">
        <v>DevOps</v>
      </c>
      <c r="B133" t="str">
        <v>Person</v>
      </c>
      <c r="C133">
        <v>1</v>
      </c>
      <c r="D133">
        <f>Assumptions!$B$13/Assumptions!$B$4</f>
        <v>1941.0587612493382</v>
      </c>
      <c r="E133">
        <f>C133*D133</f>
        <v>1941.0587612493382</v>
      </c>
      <c r="F133">
        <f>E133*12</f>
        <v>23292.70513499206</v>
      </c>
      <c r="G133">
        <f>E133*6</f>
        <v>11646.35256749603</v>
      </c>
      <c r="H133" t="str">
        <v/>
      </c>
      <c r="I133">
        <f>E133*Assumptions!$B$4</f>
        <v>183333</v>
      </c>
      <c r="J133">
        <f>F133*Assumptions!$B$4</f>
        <v>2199996</v>
      </c>
      <c r="K133">
        <f>G133*Assumptions!$B$4</f>
        <v>1099998</v>
      </c>
    </row>
    <row r="134">
      <c r="A134" t="str">
        <v>QA</v>
      </c>
      <c r="B134" t="str">
        <v>Person</v>
      </c>
      <c r="C134">
        <v>1</v>
      </c>
      <c r="D134">
        <f>Assumptions!$B$14/Assumptions!$B$4</f>
        <v>1058.7612493382742</v>
      </c>
      <c r="E134">
        <f>C134*D134</f>
        <v>1058.7612493382742</v>
      </c>
      <c r="F134">
        <f>E134*12</f>
        <v>12705.134992059291</v>
      </c>
      <c r="G134">
        <f>E134*6</f>
        <v>6352.567496029646</v>
      </c>
      <c r="H134" t="str">
        <v/>
      </c>
      <c r="I134">
        <f>E134*Assumptions!$B$4</f>
        <v>100000</v>
      </c>
      <c r="J134">
        <f>F134*Assumptions!$B$4</f>
        <v>1200000</v>
      </c>
      <c r="K134">
        <f>G134*Assumptions!$B$4</f>
        <v>600000</v>
      </c>
    </row>
    <row r="135">
      <c r="A135" t="str">
        <v>Product Manager</v>
      </c>
      <c r="B135" t="str">
        <v>Person</v>
      </c>
      <c r="C135">
        <v>1</v>
      </c>
      <c r="D135">
        <f>Assumptions!$B$15/Assumptions!$B$4</f>
        <v>2470.439385918475</v>
      </c>
      <c r="E135">
        <f>C135*D135</f>
        <v>2470.439385918475</v>
      </c>
      <c r="F135">
        <f>E135*12</f>
        <v>29645.272631021704</v>
      </c>
      <c r="G135">
        <f>E135*6</f>
        <v>14822.636315510852</v>
      </c>
      <c r="H135" t="str">
        <v/>
      </c>
      <c r="I135">
        <f>E135*Assumptions!$B$4</f>
        <v>233333</v>
      </c>
      <c r="J135">
        <f>F135*Assumptions!$B$4</f>
        <v>2799996</v>
      </c>
      <c r="K135">
        <f>G135*Assumptions!$B$4</f>
        <v>1399998</v>
      </c>
    </row>
    <row r="136">
      <c r="A136" t="str">
        <v>Designer</v>
      </c>
      <c r="B136" t="str">
        <v>Person</v>
      </c>
      <c r="C136">
        <v>1</v>
      </c>
      <c r="D136">
        <f>Assumptions!$B$16/Assumptions!$B$4</f>
        <v>1411.6781365802012</v>
      </c>
      <c r="E136">
        <f>C136*D136</f>
        <v>1411.6781365802012</v>
      </c>
      <c r="F136">
        <f>E136*12</f>
        <v>16940.137638962413</v>
      </c>
      <c r="G136">
        <f>E136*6</f>
        <v>8470.068819481206</v>
      </c>
      <c r="H136" t="str">
        <v/>
      </c>
      <c r="I136">
        <f>E136*Assumptions!$B$4</f>
        <v>133333</v>
      </c>
      <c r="J136">
        <f>F136*Assumptions!$B$4</f>
        <v>1599996</v>
      </c>
      <c r="K136">
        <f>G136*Assumptions!$B$4</f>
        <v>799998</v>
      </c>
    </row>
    <row r="137">
      <c r="A137" t="str">
        <v>Office Space (Bangalore)</v>
      </c>
      <c r="B137" t="str">
        <v>Month</v>
      </c>
      <c r="C137">
        <v>1</v>
      </c>
      <c r="D137">
        <v>2500</v>
      </c>
      <c r="E137">
        <f>C137*D137</f>
        <v>2500</v>
      </c>
      <c r="F137">
        <f>E137*12</f>
        <v>30000</v>
      </c>
      <c r="G137">
        <f>E137*6</f>
        <v>15000</v>
      </c>
      <c r="H137" t="str">
        <v/>
      </c>
      <c r="I137">
        <f>E137*Assumptions!$B$4</f>
        <v>236125</v>
      </c>
      <c r="J137">
        <f>F137*Assumptions!$B$4</f>
        <v>2833500</v>
      </c>
      <c r="K137">
        <f>G137*Assumptions!$B$4</f>
        <v>1416750</v>
      </c>
    </row>
    <row r="138">
      <c r="A138" t="str">
        <v>Utilities &amp; Internet</v>
      </c>
      <c r="B138" t="str">
        <v>Month</v>
      </c>
      <c r="C138">
        <v>1</v>
      </c>
      <c r="D138">
        <v>500</v>
      </c>
      <c r="E138">
        <f>C138*D138</f>
        <v>500</v>
      </c>
      <c r="F138">
        <f>E138*12</f>
        <v>6000</v>
      </c>
      <c r="G138">
        <f>E138*6</f>
        <v>3000</v>
      </c>
      <c r="H138" t="str">
        <v/>
      </c>
      <c r="I138">
        <f>E138*Assumptions!$B$4</f>
        <v>47225</v>
      </c>
      <c r="J138">
        <f>F138*Assumptions!$B$4</f>
        <v>566700</v>
      </c>
      <c r="K138">
        <f>G138*Assumptions!$B$4</f>
        <v>283350</v>
      </c>
    </row>
    <row r="139">
      <c r="A139" t="str">
        <v>Team Subtotal</v>
      </c>
      <c r="B139" t="str">
        <v/>
      </c>
      <c r="C139" t="str">
        <v/>
      </c>
      <c r="D139" t="str">
        <v/>
      </c>
      <c r="E139">
        <f>SUM(E130:E138)</f>
        <v>24528.11011116993</v>
      </c>
      <c r="F139">
        <f>E139*12</f>
        <v>294337.3213340392</v>
      </c>
      <c r="G139">
        <f>E139*6</f>
        <v>147168.6606670196</v>
      </c>
      <c r="H139" t="str">
        <v/>
      </c>
      <c r="I139">
        <f>E139*Assumptions!$B$4</f>
        <v>2316680</v>
      </c>
      <c r="J139">
        <f>F139*Assumptions!$B$4</f>
        <v>27800160.000000004</v>
      </c>
      <c r="K139">
        <f>G139*Assumptions!$B$4</f>
        <v>13900080.000000002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>Customer Acquisition (CAC-based)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New user acquisition (paid + organic, blended)</v>
      </c>
      <c r="B142" t="str">
        <v>New users/mo</v>
      </c>
      <c r="C142">
        <v>833</v>
      </c>
      <c r="D142">
        <f>Assumptions!$B$25</f>
        <v>6</v>
      </c>
      <c r="E142">
        <f>C142*D142</f>
        <v>4998</v>
      </c>
      <c r="F142">
        <f>E142*12</f>
        <v>59976</v>
      </c>
      <c r="G142">
        <f>E142*6</f>
        <v>29988</v>
      </c>
      <c r="H142" t="str">
        <v>5,000 net-new users over Months 13-18 (5,000→10,000) ÷ 6mo = 833/mo net-new × Year 2 blended CAC ($6). Added 2026-09-08 -- previously the CAC stated in the Pitch Deck's unit-economics table was never charged against this cost model.</v>
      </c>
      <c r="I142">
        <f>E142*Assumptions!$B$4</f>
        <v>472061.10000000003</v>
      </c>
      <c r="J142">
        <f>F142*Assumptions!$B$4</f>
        <v>5664733.2</v>
      </c>
      <c r="K142">
        <f>G142*Assumptions!$B$4</f>
        <v>2832366.6</v>
      </c>
    </row>
    <row r="143">
      <c r="A143" t="str">
        <v>Customer Acquisition Subtotal</v>
      </c>
      <c r="B143" t="str">
        <v/>
      </c>
      <c r="C143" t="str">
        <v/>
      </c>
      <c r="D143" t="str">
        <v/>
      </c>
      <c r="E143">
        <f>SUM(E142:E142)</f>
        <v>4998</v>
      </c>
      <c r="F143">
        <f>E143*12</f>
        <v>59976</v>
      </c>
      <c r="G143">
        <f>E143*6</f>
        <v>29988</v>
      </c>
      <c r="H143" t="str">
        <v/>
      </c>
      <c r="I143">
        <f>E143*Assumptions!$B$4</f>
        <v>472061.10000000003</v>
      </c>
      <c r="J143">
        <f>F143*Assumptions!$B$4</f>
        <v>5664733.2</v>
      </c>
      <c r="K143">
        <f>G143*Assumptions!$B$4</f>
        <v>2832366.6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</row>
    <row r="145">
      <c r="A145" t="str">
        <v>Operating Costs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>SaaS Tools (Jira, Slack, etc.)</v>
      </c>
      <c r="B146" t="str">
        <v>Month</v>
      </c>
      <c r="C146">
        <v>1</v>
      </c>
      <c r="D146">
        <v>300</v>
      </c>
      <c r="E146">
        <f>C146*D146</f>
        <v>300</v>
      </c>
      <c r="F146">
        <f>E146*12</f>
        <v>3600</v>
      </c>
      <c r="G146">
        <f>E146*6</f>
        <v>1800</v>
      </c>
      <c r="H146" t="str">
        <v/>
      </c>
      <c r="I146">
        <f>E146*Assumptions!$B$4</f>
        <v>28335</v>
      </c>
      <c r="J146">
        <f>F146*Assumptions!$B$4</f>
        <v>340020</v>
      </c>
      <c r="K146">
        <f>G146*Assumptions!$B$4</f>
        <v>170010</v>
      </c>
    </row>
    <row r="147">
      <c r="A147" t="str">
        <v>DevOps Tools (CI/CD, monitoring)</v>
      </c>
      <c r="B147" t="str">
        <v>Month</v>
      </c>
      <c r="C147">
        <v>1</v>
      </c>
      <c r="D147">
        <v>200</v>
      </c>
      <c r="E147">
        <f>C147*D147</f>
        <v>200</v>
      </c>
      <c r="F147">
        <f>E147*12</f>
        <v>2400</v>
      </c>
      <c r="G147">
        <f>E147*6</f>
        <v>1200</v>
      </c>
      <c r="H147" t="str">
        <v/>
      </c>
      <c r="I147">
        <f>E147*Assumptions!$B$4</f>
        <v>18890</v>
      </c>
      <c r="J147">
        <f>F147*Assumptions!$B$4</f>
        <v>226680</v>
      </c>
      <c r="K147">
        <f>G147*Assumptions!$B$4</f>
        <v>113340</v>
      </c>
    </row>
    <row r="148">
      <c r="A148" t="str">
        <v>Communication &amp; Collaboration</v>
      </c>
      <c r="B148" t="str">
        <v>Month</v>
      </c>
      <c r="C148">
        <v>1</v>
      </c>
      <c r="D148">
        <v>150</v>
      </c>
      <c r="E148">
        <f>C148*D148</f>
        <v>150</v>
      </c>
      <c r="F148">
        <f>E148*12</f>
        <v>1800</v>
      </c>
      <c r="G148">
        <f>E148*6</f>
        <v>900</v>
      </c>
      <c r="H148" t="str">
        <v/>
      </c>
      <c r="I148">
        <f>E148*Assumptions!$B$4</f>
        <v>14167.5</v>
      </c>
      <c r="J148">
        <f>F148*Assumptions!$B$4</f>
        <v>170010</v>
      </c>
      <c r="K148">
        <f>G148*Assumptions!$B$4</f>
        <v>85005</v>
      </c>
    </row>
    <row r="149">
      <c r="A149" t="str">
        <v>Professional Development</v>
      </c>
      <c r="B149" t="str">
        <v>Month</v>
      </c>
      <c r="C149">
        <v>1</v>
      </c>
      <c r="D149">
        <v>200</v>
      </c>
      <c r="E149">
        <f>C149*D149</f>
        <v>200</v>
      </c>
      <c r="F149">
        <f>E149*12</f>
        <v>2400</v>
      </c>
      <c r="G149">
        <f>E149*6</f>
        <v>1200</v>
      </c>
      <c r="H149" t="str">
        <v/>
      </c>
      <c r="I149">
        <f>E149*Assumptions!$B$4</f>
        <v>18890</v>
      </c>
      <c r="J149">
        <f>F149*Assumptions!$B$4</f>
        <v>226680</v>
      </c>
      <c r="K149">
        <f>G149*Assumptions!$B$4</f>
        <v>113340</v>
      </c>
    </row>
    <row r="150">
      <c r="A150" t="str">
        <v>Insurance &amp; Compliance</v>
      </c>
      <c r="B150" t="str">
        <v>Month</v>
      </c>
      <c r="C150">
        <v>1</v>
      </c>
      <c r="D150">
        <v>300</v>
      </c>
      <c r="E150">
        <f>C150*D150</f>
        <v>300</v>
      </c>
      <c r="F150">
        <f>E150*12</f>
        <v>3600</v>
      </c>
      <c r="G150">
        <f>E150*6</f>
        <v>1800</v>
      </c>
      <c r="H150" t="str">
        <v/>
      </c>
      <c r="I150">
        <f>E150*Assumptions!$B$4</f>
        <v>28335</v>
      </c>
      <c r="J150">
        <f>F150*Assumptions!$B$4</f>
        <v>340020</v>
      </c>
      <c r="K150">
        <f>G150*Assumptions!$B$4</f>
        <v>170010</v>
      </c>
    </row>
    <row r="151">
      <c r="A151" t="str">
        <v>Marketing &amp; Community</v>
      </c>
      <c r="B151" t="str">
        <v>Month</v>
      </c>
      <c r="C151">
        <v>1</v>
      </c>
      <c r="D151">
        <v>500</v>
      </c>
      <c r="E151">
        <f>C151*D151</f>
        <v>500</v>
      </c>
      <c r="F151">
        <f>E151*12</f>
        <v>6000</v>
      </c>
      <c r="G151">
        <f>E151*6</f>
        <v>3000</v>
      </c>
      <c r="H151" t="str">
        <v/>
      </c>
      <c r="I151">
        <f>E151*Assumptions!$B$4</f>
        <v>47225</v>
      </c>
      <c r="J151">
        <f>F151*Assumptions!$B$4</f>
        <v>566700</v>
      </c>
      <c r="K151">
        <f>G151*Assumptions!$B$4</f>
        <v>283350</v>
      </c>
    </row>
    <row r="152">
      <c r="A152" t="str">
        <v>Operating Subtotal</v>
      </c>
      <c r="B152" t="str">
        <v/>
      </c>
      <c r="C152" t="str">
        <v/>
      </c>
      <c r="D152" t="str">
        <v/>
      </c>
      <c r="E152">
        <f>SUM(E146:E151)</f>
        <v>1650</v>
      </c>
      <c r="F152">
        <f>E152*12</f>
        <v>19800</v>
      </c>
      <c r="G152">
        <f>E152*6</f>
        <v>9900</v>
      </c>
      <c r="H152" t="str">
        <v/>
      </c>
      <c r="I152">
        <f>E152*Assumptions!$B$4</f>
        <v>155842.5</v>
      </c>
      <c r="J152">
        <f>F152*Assumptions!$B$4</f>
        <v>1870110</v>
      </c>
      <c r="K152">
        <f>G152*Assumptions!$B$4</f>
        <v>935055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TOTAL MONTHLY COST</v>
      </c>
      <c r="B154" t="str">
        <v/>
      </c>
      <c r="C154" t="str">
        <v/>
      </c>
      <c r="D154" t="str">
        <v/>
      </c>
      <c r="E154">
        <f>E127+E139+E143+E152</f>
        <v>34126.11011116993</v>
      </c>
      <c r="F154">
        <f>E154*12</f>
        <v>409513.3213340392</v>
      </c>
      <c r="G154">
        <f>E154*6</f>
        <v>204756.6606670196</v>
      </c>
      <c r="H154" t="str">
        <v/>
      </c>
      <c r="I154">
        <f>E154*Assumptions!$B$4</f>
        <v>3223211.1</v>
      </c>
      <c r="J154">
        <f>F154*Assumptions!$B$4</f>
        <v>38678533.2</v>
      </c>
      <c r="K154">
        <f>G154*Assumptions!$B$4</f>
        <v>19339266.6</v>
      </c>
    </row>
    <row r="155">
      <c r="A155" t="str">
        <v>Cost per User (Monthly)</v>
      </c>
      <c r="B155" t="str">
        <v/>
      </c>
      <c r="C155" t="str">
        <v/>
      </c>
      <c r="D155" t="str">
        <v/>
      </c>
      <c r="E155">
        <f>E154/10000</f>
        <v>3.412611011116993</v>
      </c>
      <c r="F155" t="str">
        <v/>
      </c>
      <c r="G155" t="str">
        <v/>
      </c>
      <c r="H155" t="str">
        <v/>
      </c>
      <c r="I155">
        <f>E155*Assumptions!$B$4</f>
        <v>322.32111000000003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Month 24 — 25,000 Users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Category</v>
      </c>
      <c r="B159" t="str">
        <v>Unit</v>
      </c>
      <c r="C159" t="str">
        <v>Quantity</v>
      </c>
      <c r="D159" t="str">
        <v>Unit Cost (USD)</v>
      </c>
      <c r="E159" t="str">
        <v>Monthly Cost (USD)</v>
      </c>
      <c r="F159" t="str">
        <v>Annual Cost (USD)</v>
      </c>
      <c r="G159" t="str">
        <v>6-Month Cost (USD)</v>
      </c>
      <c r="H159" t="str">
        <v>Notes</v>
      </c>
      <c r="I159" t="str">
        <v>Monthly Cost (INR)</v>
      </c>
      <c r="J159" t="str">
        <v>Annual Cost (INR)</v>
      </c>
      <c r="K159" t="str">
        <v>6-Month Cost (INR)</v>
      </c>
    </row>
    <row r="160">
      <c r="A160" t="str">
        <v>AWS Infrastructure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compute</v>
      </c>
      <c r="B161" t="str">
        <v>Month</v>
      </c>
      <c r="C161">
        <v>1</v>
      </c>
      <c r="D161">
        <v>2500</v>
      </c>
      <c r="E161">
        <f>C161*D161</f>
        <v>2500</v>
      </c>
      <c r="F161">
        <f>E161*12</f>
        <v>30000</v>
      </c>
      <c r="G161">
        <f>E161*6</f>
        <v>15000</v>
      </c>
      <c r="H161" t="str">
        <v/>
      </c>
      <c r="I161">
        <f>E161*Assumptions!$B$4</f>
        <v>236125</v>
      </c>
      <c r="J161">
        <f>F161*Assumptions!$B$4</f>
        <v>2833500</v>
      </c>
      <c r="K161">
        <f>G161*Assumptions!$B$4</f>
        <v>1416750</v>
      </c>
    </row>
    <row r="162">
      <c r="A162" t="str">
        <v>database</v>
      </c>
      <c r="B162" t="str">
        <v>Month</v>
      </c>
      <c r="C162">
        <v>1</v>
      </c>
      <c r="D162">
        <v>1800</v>
      </c>
      <c r="E162">
        <f>C162*D162</f>
        <v>1800</v>
      </c>
      <c r="F162">
        <f>E162*12</f>
        <v>21600</v>
      </c>
      <c r="G162">
        <f>E162*6</f>
        <v>10800</v>
      </c>
      <c r="H162" t="str">
        <v/>
      </c>
      <c r="I162">
        <f>E162*Assumptions!$B$4</f>
        <v>170010</v>
      </c>
      <c r="J162">
        <f>F162*Assumptions!$B$4</f>
        <v>2040120</v>
      </c>
      <c r="K162">
        <f>G162*Assumptions!$B$4</f>
        <v>1020060</v>
      </c>
    </row>
    <row r="163">
      <c r="A163" t="str">
        <v>storage</v>
      </c>
      <c r="B163" t="str">
        <v>Month</v>
      </c>
      <c r="C163">
        <v>1</v>
      </c>
      <c r="D163">
        <v>600</v>
      </c>
      <c r="E163">
        <f>C163*D163</f>
        <v>600</v>
      </c>
      <c r="F163">
        <f>E163*12</f>
        <v>7200</v>
      </c>
      <c r="G163">
        <f>E163*6</f>
        <v>3600</v>
      </c>
      <c r="H163" t="str">
        <v/>
      </c>
      <c r="I163">
        <f>E163*Assumptions!$B$4</f>
        <v>56670</v>
      </c>
      <c r="J163">
        <f>F163*Assumptions!$B$4</f>
        <v>680040</v>
      </c>
      <c r="K163">
        <f>G163*Assumptions!$B$4</f>
        <v>340020</v>
      </c>
    </row>
    <row r="164">
      <c r="A164" t="str">
        <v>networking</v>
      </c>
      <c r="B164" t="str">
        <v>Month</v>
      </c>
      <c r="C164">
        <v>1</v>
      </c>
      <c r="D164">
        <v>400</v>
      </c>
      <c r="E164">
        <f>C164*D164</f>
        <v>400</v>
      </c>
      <c r="F164">
        <f>E164*12</f>
        <v>4800</v>
      </c>
      <c r="G164">
        <f>E164*6</f>
        <v>2400</v>
      </c>
      <c r="H164" t="str">
        <v/>
      </c>
      <c r="I164">
        <f>E164*Assumptions!$B$4</f>
        <v>37780</v>
      </c>
      <c r="J164">
        <f>F164*Assumptions!$B$4</f>
        <v>453360</v>
      </c>
      <c r="K164">
        <f>G164*Assumptions!$B$4</f>
        <v>226680</v>
      </c>
    </row>
    <row r="165">
      <c r="A165" t="str">
        <v>data_transfer</v>
      </c>
      <c r="B165" t="str">
        <v>Month</v>
      </c>
      <c r="C165">
        <v>1</v>
      </c>
      <c r="D165">
        <v>500</v>
      </c>
      <c r="E165">
        <f>C165*D165</f>
        <v>500</v>
      </c>
      <c r="F165">
        <f>E165*12</f>
        <v>6000</v>
      </c>
      <c r="G165">
        <f>E165*6</f>
        <v>3000</v>
      </c>
      <c r="H165" t="str">
        <v/>
      </c>
      <c r="I165">
        <f>E165*Assumptions!$B$4</f>
        <v>47225</v>
      </c>
      <c r="J165">
        <f>F165*Assumptions!$B$4</f>
        <v>566700</v>
      </c>
      <c r="K165">
        <f>G165*Assumptions!$B$4</f>
        <v>283350</v>
      </c>
    </row>
    <row r="166">
      <c r="A166" t="str">
        <v>monitoring</v>
      </c>
      <c r="B166" t="str">
        <v>Month</v>
      </c>
      <c r="C166">
        <v>1</v>
      </c>
      <c r="D166">
        <v>150</v>
      </c>
      <c r="E166">
        <f>C166*D166</f>
        <v>150</v>
      </c>
      <c r="F166">
        <f>E166*12</f>
        <v>1800</v>
      </c>
      <c r="G166">
        <f>E166*6</f>
        <v>900</v>
      </c>
      <c r="H166" t="str">
        <v/>
      </c>
      <c r="I166">
        <f>E166*Assumptions!$B$4</f>
        <v>14167.5</v>
      </c>
      <c r="J166">
        <f>F166*Assumptions!$B$4</f>
        <v>170010</v>
      </c>
      <c r="K166">
        <f>G166*Assumptions!$B$4</f>
        <v>85005</v>
      </c>
    </row>
    <row r="167">
      <c r="A167" t="str">
        <v>backups</v>
      </c>
      <c r="B167" t="str">
        <v>Month</v>
      </c>
      <c r="C167">
        <v>1</v>
      </c>
      <c r="D167">
        <v>250</v>
      </c>
      <c r="E167">
        <f>C167*D167</f>
        <v>250</v>
      </c>
      <c r="F167">
        <f>E167*12</f>
        <v>3000</v>
      </c>
      <c r="G167">
        <f>E167*6</f>
        <v>1500</v>
      </c>
      <c r="H167" t="str">
        <v/>
      </c>
      <c r="I167">
        <f>E167*Assumptions!$B$4</f>
        <v>23612.5</v>
      </c>
      <c r="J167">
        <f>F167*Assumptions!$B$4</f>
        <v>283350</v>
      </c>
      <c r="K167">
        <f>G167*Assumptions!$B$4</f>
        <v>141675</v>
      </c>
    </row>
    <row r="168">
      <c r="A168" t="str">
        <v>AWS Subtotal</v>
      </c>
      <c r="B168" t="str">
        <v/>
      </c>
      <c r="C168" t="str">
        <v/>
      </c>
      <c r="D168" t="str">
        <v/>
      </c>
      <c r="E168">
        <f>SUM(E161:E167)</f>
        <v>6200</v>
      </c>
      <c r="F168">
        <f>E168*12</f>
        <v>74400</v>
      </c>
      <c r="G168">
        <f>E168*6</f>
        <v>37200</v>
      </c>
      <c r="H168" t="str">
        <v/>
      </c>
      <c r="I168">
        <f>E168*Assumptions!$B$4</f>
        <v>585590</v>
      </c>
      <c r="J168">
        <f>F168*Assumptions!$B$4</f>
        <v>7027080</v>
      </c>
      <c r="K168">
        <f>G168*Assumptions!$B$4</f>
        <v>3513540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>Engineering Team (India-based)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Senior Dev</v>
      </c>
      <c r="B171" t="str">
        <v>Person</v>
      </c>
      <c r="C171">
        <v>3</v>
      </c>
      <c r="D171">
        <f>Assumptions!$B$11/Assumptions!$B$4</f>
        <v>3529.2006352567496</v>
      </c>
      <c r="E171">
        <f>C171*D171</f>
        <v>10587.601905770249</v>
      </c>
      <c r="F171">
        <f>E171*12</f>
        <v>127051.22286924298</v>
      </c>
      <c r="G171">
        <f>E171*6</f>
        <v>63525.61143462149</v>
      </c>
      <c r="H171" t="str">
        <v/>
      </c>
      <c r="I171">
        <f>E171*Assumptions!$B$4</f>
        <v>999999</v>
      </c>
      <c r="J171">
        <f>F171*Assumptions!$B$4</f>
        <v>11999988</v>
      </c>
      <c r="K171">
        <f>G171*Assumptions!$B$4</f>
        <v>5999994</v>
      </c>
    </row>
    <row r="172">
      <c r="A172" t="str">
        <v>Mid-level Dev</v>
      </c>
      <c r="B172" t="str">
        <v>Person</v>
      </c>
      <c r="C172">
        <v>4</v>
      </c>
      <c r="D172">
        <f>Assumptions!$B$10/Assumptions!$B$4</f>
        <v>1941.0587612493382</v>
      </c>
      <c r="E172">
        <f>C172*D172</f>
        <v>7764.235044997353</v>
      </c>
      <c r="F172">
        <f>E172*12</f>
        <v>93170.82053996823</v>
      </c>
      <c r="G172">
        <f>E172*6</f>
        <v>46585.41026998412</v>
      </c>
      <c r="H172" t="str">
        <v/>
      </c>
      <c r="I172">
        <f>E172*Assumptions!$B$4</f>
        <v>733332</v>
      </c>
      <c r="J172">
        <f>F172*Assumptions!$B$4</f>
        <v>8799984</v>
      </c>
      <c r="K172">
        <f>G172*Assumptions!$B$4</f>
        <v>4399992</v>
      </c>
    </row>
    <row r="173">
      <c r="A173" t="str">
        <v>Junior Dev</v>
      </c>
      <c r="B173" t="str">
        <v>Person</v>
      </c>
      <c r="C173">
        <v>3</v>
      </c>
      <c r="D173">
        <f>Assumptions!$B$9/Assumptions!$B$4</f>
        <v>882.297511911064</v>
      </c>
      <c r="E173">
        <f>C173*D173</f>
        <v>2646.892535733192</v>
      </c>
      <c r="F173">
        <f>E173*12</f>
        <v>31762.710428798302</v>
      </c>
      <c r="G173">
        <f>E173*6</f>
        <v>15881.355214399151</v>
      </c>
      <c r="H173" t="str">
        <v/>
      </c>
      <c r="I173">
        <f>E173*Assumptions!$B$4</f>
        <v>249998.99999999997</v>
      </c>
      <c r="J173">
        <f>F173*Assumptions!$B$4</f>
        <v>2999987.9999999995</v>
      </c>
      <c r="K173">
        <f>G173*Assumptions!$B$4</f>
        <v>1499993.9999999998</v>
      </c>
    </row>
    <row r="174">
      <c r="A174" t="str">
        <v>DevOps</v>
      </c>
      <c r="B174" t="str">
        <v>Person</v>
      </c>
      <c r="C174">
        <v>2</v>
      </c>
      <c r="D174">
        <f>Assumptions!$B$13/Assumptions!$B$4</f>
        <v>1941.0587612493382</v>
      </c>
      <c r="E174">
        <f>C174*D174</f>
        <v>3882.1175224986764</v>
      </c>
      <c r="F174">
        <f>E174*12</f>
        <v>46585.41026998412</v>
      </c>
      <c r="G174">
        <f>E174*6</f>
        <v>23292.70513499206</v>
      </c>
      <c r="H174" t="str">
        <v/>
      </c>
      <c r="I174">
        <f>E174*Assumptions!$B$4</f>
        <v>366666</v>
      </c>
      <c r="J174">
        <f>F174*Assumptions!$B$4</f>
        <v>4399992</v>
      </c>
      <c r="K174">
        <f>G174*Assumptions!$B$4</f>
        <v>2199996</v>
      </c>
    </row>
    <row r="175">
      <c r="A175" t="str">
        <v>QA</v>
      </c>
      <c r="B175" t="str">
        <v>Person</v>
      </c>
      <c r="C175">
        <v>2</v>
      </c>
      <c r="D175">
        <f>Assumptions!$B$14/Assumptions!$B$4</f>
        <v>1058.7612493382742</v>
      </c>
      <c r="E175">
        <f>C175*D175</f>
        <v>2117.5224986765484</v>
      </c>
      <c r="F175">
        <f>E175*12</f>
        <v>25410.269984118582</v>
      </c>
      <c r="G175">
        <f>E175*6</f>
        <v>12705.134992059291</v>
      </c>
      <c r="H175" t="str">
        <v/>
      </c>
      <c r="I175">
        <f>E175*Assumptions!$B$4</f>
        <v>200000</v>
      </c>
      <c r="J175">
        <f>F175*Assumptions!$B$4</f>
        <v>2400000</v>
      </c>
      <c r="K175">
        <f>G175*Assumptions!$B$4</f>
        <v>1200000</v>
      </c>
    </row>
    <row r="176">
      <c r="A176" t="str">
        <v>Product Manager</v>
      </c>
      <c r="B176" t="str">
        <v>Person</v>
      </c>
      <c r="C176">
        <v>1</v>
      </c>
      <c r="D176">
        <f>Assumptions!$B$15/Assumptions!$B$4</f>
        <v>2470.439385918475</v>
      </c>
      <c r="E176">
        <f>C176*D176</f>
        <v>2470.439385918475</v>
      </c>
      <c r="F176">
        <f>E176*12</f>
        <v>29645.272631021704</v>
      </c>
      <c r="G176">
        <f>E176*6</f>
        <v>14822.636315510852</v>
      </c>
      <c r="H176" t="str">
        <v/>
      </c>
      <c r="I176">
        <f>E176*Assumptions!$B$4</f>
        <v>233333</v>
      </c>
      <c r="J176">
        <f>F176*Assumptions!$B$4</f>
        <v>2799996</v>
      </c>
      <c r="K176">
        <f>G176*Assumptions!$B$4</f>
        <v>1399998</v>
      </c>
    </row>
    <row r="177">
      <c r="A177" t="str">
        <v>Designer</v>
      </c>
      <c r="B177" t="str">
        <v>Person</v>
      </c>
      <c r="C177">
        <v>1</v>
      </c>
      <c r="D177">
        <f>Assumptions!$B$16/Assumptions!$B$4</f>
        <v>1411.6781365802012</v>
      </c>
      <c r="E177">
        <f>C177*D177</f>
        <v>1411.6781365802012</v>
      </c>
      <c r="F177">
        <f>E177*12</f>
        <v>16940.137638962413</v>
      </c>
      <c r="G177">
        <f>E177*6</f>
        <v>8470.068819481206</v>
      </c>
      <c r="H177" t="str">
        <v/>
      </c>
      <c r="I177">
        <f>E177*Assumptions!$B$4</f>
        <v>133333</v>
      </c>
      <c r="J177">
        <f>F177*Assumptions!$B$4</f>
        <v>1599996</v>
      </c>
      <c r="K177">
        <f>G177*Assumptions!$B$4</f>
        <v>799998</v>
      </c>
    </row>
    <row r="178">
      <c r="A178" t="str">
        <v>Tech Lead</v>
      </c>
      <c r="B178" t="str">
        <v>Person</v>
      </c>
      <c r="C178">
        <v>1</v>
      </c>
      <c r="D178">
        <f>Assumptions!$B$12/Assumptions!$B$4</f>
        <v>4852.652196929592</v>
      </c>
      <c r="E178">
        <f>C178*D178</f>
        <v>4852.652196929592</v>
      </c>
      <c r="F178">
        <f>E178*12</f>
        <v>58231.8263631551</v>
      </c>
      <c r="G178">
        <f>E178*6</f>
        <v>29115.91318157755</v>
      </c>
      <c r="H178" t="str">
        <v/>
      </c>
      <c r="I178">
        <f>E178*Assumptions!$B$4</f>
        <v>458332.99999999994</v>
      </c>
      <c r="J178">
        <f>F178*Assumptions!$B$4</f>
        <v>5499995.999999999</v>
      </c>
      <c r="K178">
        <f>G178*Assumptions!$B$4</f>
        <v>2749997.9999999995</v>
      </c>
    </row>
    <row r="179">
      <c r="A179" t="str">
        <v>Office Space (Bangalore)</v>
      </c>
      <c r="B179" t="str">
        <v>Month</v>
      </c>
      <c r="C179">
        <v>1</v>
      </c>
      <c r="D179">
        <v>2500</v>
      </c>
      <c r="E179">
        <f>C179*D179</f>
        <v>2500</v>
      </c>
      <c r="F179">
        <f>E179*12</f>
        <v>30000</v>
      </c>
      <c r="G179">
        <f>E179*6</f>
        <v>15000</v>
      </c>
      <c r="H179" t="str">
        <v/>
      </c>
      <c r="I179">
        <f>E179*Assumptions!$B$4</f>
        <v>236125</v>
      </c>
      <c r="J179">
        <f>F179*Assumptions!$B$4</f>
        <v>2833500</v>
      </c>
      <c r="K179">
        <f>G179*Assumptions!$B$4</f>
        <v>1416750</v>
      </c>
    </row>
    <row r="180">
      <c r="A180" t="str">
        <v>Utilities &amp; Internet</v>
      </c>
      <c r="B180" t="str">
        <v>Month</v>
      </c>
      <c r="C180">
        <v>1</v>
      </c>
      <c r="D180">
        <v>500</v>
      </c>
      <c r="E180">
        <f>C180*D180</f>
        <v>500</v>
      </c>
      <c r="F180">
        <f>E180*12</f>
        <v>6000</v>
      </c>
      <c r="G180">
        <f>E180*6</f>
        <v>3000</v>
      </c>
      <c r="H180" t="str">
        <v/>
      </c>
      <c r="I180">
        <f>E180*Assumptions!$B$4</f>
        <v>47225</v>
      </c>
      <c r="J180">
        <f>F180*Assumptions!$B$4</f>
        <v>566700</v>
      </c>
      <c r="K180">
        <f>G180*Assumptions!$B$4</f>
        <v>283350</v>
      </c>
    </row>
    <row r="181">
      <c r="A181" t="str">
        <v>Team Subtotal</v>
      </c>
      <c r="B181" t="str">
        <v/>
      </c>
      <c r="C181" t="str">
        <v/>
      </c>
      <c r="D181" t="str">
        <v/>
      </c>
      <c r="E181">
        <f>SUM(E171:E180)</f>
        <v>38733.139227104286</v>
      </c>
      <c r="F181">
        <f>E181*12</f>
        <v>464797.67072525143</v>
      </c>
      <c r="G181">
        <f>E181*6</f>
        <v>232398.83536262572</v>
      </c>
      <c r="H181" t="str">
        <v/>
      </c>
      <c r="I181">
        <f>E181*Assumptions!$B$4</f>
        <v>3658345</v>
      </c>
      <c r="J181">
        <f>F181*Assumptions!$B$4</f>
        <v>43900140</v>
      </c>
      <c r="K181">
        <f>G181*Assumptions!$B$4</f>
        <v>21950070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>Customer Acquisition (CAC-based)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</row>
    <row r="184">
      <c r="A184" t="str">
        <v>New user acquisition (paid + organic, blended)</v>
      </c>
      <c r="B184" t="str">
        <v>New users/mo</v>
      </c>
      <c r="C184">
        <v>2500</v>
      </c>
      <c r="D184">
        <f>Assumptions!$B$25</f>
        <v>6</v>
      </c>
      <c r="E184">
        <f>C184*D184</f>
        <v>15000</v>
      </c>
      <c r="F184">
        <f>E184*12</f>
        <v>180000</v>
      </c>
      <c r="G184">
        <f>E184*6</f>
        <v>90000</v>
      </c>
      <c r="H184" t="str">
        <v>15,000 net-new users over Months 19-24 (10,000→25,000) ÷ 6mo = 2,500/mo net-new × Year 2 blended CAC ($6). Added 2026-09-08 -- previously the CAC stated in the Pitch Deck's unit-economics table was never charged against this cost model.</v>
      </c>
      <c r="I184">
        <f>E184*Assumptions!$B$4</f>
        <v>1416750</v>
      </c>
      <c r="J184">
        <f>F184*Assumptions!$B$4</f>
        <v>17001000</v>
      </c>
      <c r="K184">
        <f>G184*Assumptions!$B$4</f>
        <v>8500500</v>
      </c>
    </row>
    <row r="185">
      <c r="A185" t="str">
        <v>Customer Acquisition Subtotal</v>
      </c>
      <c r="B185" t="str">
        <v/>
      </c>
      <c r="C185" t="str">
        <v/>
      </c>
      <c r="D185" t="str">
        <v/>
      </c>
      <c r="E185">
        <f>SUM(E184:E184)</f>
        <v>15000</v>
      </c>
      <c r="F185">
        <f>E185*12</f>
        <v>180000</v>
      </c>
      <c r="G185">
        <f>E185*6</f>
        <v>90000</v>
      </c>
      <c r="H185" t="str">
        <v/>
      </c>
      <c r="I185">
        <f>E185*Assumptions!$B$4</f>
        <v>1416750</v>
      </c>
      <c r="J185">
        <f>F185*Assumptions!$B$4</f>
        <v>17001000</v>
      </c>
      <c r="K185">
        <f>G185*Assumptions!$B$4</f>
        <v>8500500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>Operating Costs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SaaS Tools (Jira, Slack, etc.)</v>
      </c>
      <c r="B188" t="str">
        <v>Month</v>
      </c>
      <c r="C188">
        <v>1</v>
      </c>
      <c r="D188">
        <v>300</v>
      </c>
      <c r="E188">
        <f>C188*D188</f>
        <v>300</v>
      </c>
      <c r="F188">
        <f>E188*12</f>
        <v>3600</v>
      </c>
      <c r="G188">
        <f>E188*6</f>
        <v>1800</v>
      </c>
      <c r="H188" t="str">
        <v/>
      </c>
      <c r="I188">
        <f>E188*Assumptions!$B$4</f>
        <v>28335</v>
      </c>
      <c r="J188">
        <f>F188*Assumptions!$B$4</f>
        <v>340020</v>
      </c>
      <c r="K188">
        <f>G188*Assumptions!$B$4</f>
        <v>170010</v>
      </c>
    </row>
    <row r="189">
      <c r="A189" t="str">
        <v>DevOps Tools (CI/CD, monitoring)</v>
      </c>
      <c r="B189" t="str">
        <v>Month</v>
      </c>
      <c r="C189">
        <v>1</v>
      </c>
      <c r="D189">
        <v>200</v>
      </c>
      <c r="E189">
        <f>C189*D189</f>
        <v>200</v>
      </c>
      <c r="F189">
        <f>E189*12</f>
        <v>2400</v>
      </c>
      <c r="G189">
        <f>E189*6</f>
        <v>1200</v>
      </c>
      <c r="H189" t="str">
        <v/>
      </c>
      <c r="I189">
        <f>E189*Assumptions!$B$4</f>
        <v>18890</v>
      </c>
      <c r="J189">
        <f>F189*Assumptions!$B$4</f>
        <v>226680</v>
      </c>
      <c r="K189">
        <f>G189*Assumptions!$B$4</f>
        <v>113340</v>
      </c>
    </row>
    <row r="190">
      <c r="A190" t="str">
        <v>Communication &amp; Collaboration</v>
      </c>
      <c r="B190" t="str">
        <v>Month</v>
      </c>
      <c r="C190">
        <v>1</v>
      </c>
      <c r="D190">
        <v>150</v>
      </c>
      <c r="E190">
        <f>C190*D190</f>
        <v>150</v>
      </c>
      <c r="F190">
        <f>E190*12</f>
        <v>1800</v>
      </c>
      <c r="G190">
        <f>E190*6</f>
        <v>900</v>
      </c>
      <c r="H190" t="str">
        <v/>
      </c>
      <c r="I190">
        <f>E190*Assumptions!$B$4</f>
        <v>14167.5</v>
      </c>
      <c r="J190">
        <f>F190*Assumptions!$B$4</f>
        <v>170010</v>
      </c>
      <c r="K190">
        <f>G190*Assumptions!$B$4</f>
        <v>85005</v>
      </c>
    </row>
    <row r="191">
      <c r="A191" t="str">
        <v>Professional Development</v>
      </c>
      <c r="B191" t="str">
        <v>Month</v>
      </c>
      <c r="C191">
        <v>1</v>
      </c>
      <c r="D191">
        <v>200</v>
      </c>
      <c r="E191">
        <f>C191*D191</f>
        <v>200</v>
      </c>
      <c r="F191">
        <f>E191*12</f>
        <v>2400</v>
      </c>
      <c r="G191">
        <f>E191*6</f>
        <v>1200</v>
      </c>
      <c r="H191" t="str">
        <v/>
      </c>
      <c r="I191">
        <f>E191*Assumptions!$B$4</f>
        <v>18890</v>
      </c>
      <c r="J191">
        <f>F191*Assumptions!$B$4</f>
        <v>226680</v>
      </c>
      <c r="K191">
        <f>G191*Assumptions!$B$4</f>
        <v>113340</v>
      </c>
    </row>
    <row r="192">
      <c r="A192" t="str">
        <v>Insurance &amp; Compliance</v>
      </c>
      <c r="B192" t="str">
        <v>Month</v>
      </c>
      <c r="C192">
        <v>1</v>
      </c>
      <c r="D192">
        <v>300</v>
      </c>
      <c r="E192">
        <f>C192*D192</f>
        <v>300</v>
      </c>
      <c r="F192">
        <f>E192*12</f>
        <v>3600</v>
      </c>
      <c r="G192">
        <f>E192*6</f>
        <v>1800</v>
      </c>
      <c r="H192" t="str">
        <v/>
      </c>
      <c r="I192">
        <f>E192*Assumptions!$B$4</f>
        <v>28335</v>
      </c>
      <c r="J192">
        <f>F192*Assumptions!$B$4</f>
        <v>340020</v>
      </c>
      <c r="K192">
        <f>G192*Assumptions!$B$4</f>
        <v>170010</v>
      </c>
    </row>
    <row r="193">
      <c r="A193" t="str">
        <v>Marketing &amp; Community</v>
      </c>
      <c r="B193" t="str">
        <v>Month</v>
      </c>
      <c r="C193">
        <v>1</v>
      </c>
      <c r="D193">
        <v>500</v>
      </c>
      <c r="E193">
        <f>C193*D193</f>
        <v>500</v>
      </c>
      <c r="F193">
        <f>E193*12</f>
        <v>6000</v>
      </c>
      <c r="G193">
        <f>E193*6</f>
        <v>3000</v>
      </c>
      <c r="H193" t="str">
        <v/>
      </c>
      <c r="I193">
        <f>E193*Assumptions!$B$4</f>
        <v>47225</v>
      </c>
      <c r="J193">
        <f>F193*Assumptions!$B$4</f>
        <v>566700</v>
      </c>
      <c r="K193">
        <f>G193*Assumptions!$B$4</f>
        <v>283350</v>
      </c>
    </row>
    <row r="194">
      <c r="A194" t="str">
        <v>Operating Subtotal</v>
      </c>
      <c r="B194" t="str">
        <v/>
      </c>
      <c r="C194" t="str">
        <v/>
      </c>
      <c r="D194" t="str">
        <v/>
      </c>
      <c r="E194">
        <f>SUM(E188:E193)</f>
        <v>1650</v>
      </c>
      <c r="F194">
        <f>E194*12</f>
        <v>19800</v>
      </c>
      <c r="G194">
        <f>E194*6</f>
        <v>9900</v>
      </c>
      <c r="H194" t="str">
        <v/>
      </c>
      <c r="I194">
        <f>E194*Assumptions!$B$4</f>
        <v>155842.5</v>
      </c>
      <c r="J194">
        <f>F194*Assumptions!$B$4</f>
        <v>1870110</v>
      </c>
      <c r="K194">
        <f>G194*Assumptions!$B$4</f>
        <v>935055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>TOTAL MONTHLY COST</v>
      </c>
      <c r="B196" t="str">
        <v/>
      </c>
      <c r="C196" t="str">
        <v/>
      </c>
      <c r="D196" t="str">
        <v/>
      </c>
      <c r="E196">
        <f>E168+E181+E185+E194</f>
        <v>61583.139227104286</v>
      </c>
      <c r="F196">
        <f>E196*12</f>
        <v>738997.6707252514</v>
      </c>
      <c r="G196">
        <f>E196*6</f>
        <v>369498.8353626257</v>
      </c>
      <c r="H196" t="str">
        <v/>
      </c>
      <c r="I196">
        <f>E196*Assumptions!$B$4</f>
        <v>5816527.5</v>
      </c>
      <c r="J196">
        <f>F196*Assumptions!$B$4</f>
        <v>69798330</v>
      </c>
      <c r="K196">
        <f>G196*Assumptions!$B$4</f>
        <v>34899165</v>
      </c>
    </row>
    <row r="197">
      <c r="A197" t="str">
        <v>Cost per User (Monthly)</v>
      </c>
      <c r="B197" t="str">
        <v/>
      </c>
      <c r="C197" t="str">
        <v/>
      </c>
      <c r="D197" t="str">
        <v/>
      </c>
      <c r="E197">
        <f>E196/25000</f>
        <v>2.4633255690841716</v>
      </c>
      <c r="F197" t="str">
        <v/>
      </c>
      <c r="G197" t="str">
        <v/>
      </c>
      <c r="H197" t="str">
        <v/>
      </c>
      <c r="I197">
        <f>E197*Assumptions!$B$4</f>
        <v>232.6611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>Month 30 — 50,000 Users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>Category</v>
      </c>
      <c r="B201" t="str">
        <v>Unit</v>
      </c>
      <c r="C201" t="str">
        <v>Quantity</v>
      </c>
      <c r="D201" t="str">
        <v>Unit Cost (USD)</v>
      </c>
      <c r="E201" t="str">
        <v>Monthly Cost (USD)</v>
      </c>
      <c r="F201" t="str">
        <v>Annual Cost (USD)</v>
      </c>
      <c r="G201" t="str">
        <v>6-Month Cost (USD)</v>
      </c>
      <c r="H201" t="str">
        <v>Notes</v>
      </c>
      <c r="I201" t="str">
        <v>Monthly Cost (INR)</v>
      </c>
      <c r="J201" t="str">
        <v>Annual Cost (INR)</v>
      </c>
      <c r="K201" t="str">
        <v>6-Month Cost (INR)</v>
      </c>
    </row>
    <row r="202">
      <c r="A202" t="str">
        <v>AWS Infrastructure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>compute</v>
      </c>
      <c r="B203" t="str">
        <v>Month</v>
      </c>
      <c r="C203">
        <v>1</v>
      </c>
      <c r="D203">
        <v>4500</v>
      </c>
      <c r="E203">
        <f>C203*D203</f>
        <v>4500</v>
      </c>
      <c r="F203">
        <f>E203*12</f>
        <v>54000</v>
      </c>
      <c r="G203">
        <f>E203*6</f>
        <v>27000</v>
      </c>
      <c r="H203" t="str">
        <v/>
      </c>
      <c r="I203">
        <f>E203*Assumptions!$B$4</f>
        <v>425025</v>
      </c>
      <c r="J203">
        <f>F203*Assumptions!$B$4</f>
        <v>5100300</v>
      </c>
      <c r="K203">
        <f>G203*Assumptions!$B$4</f>
        <v>2550150</v>
      </c>
    </row>
    <row r="204">
      <c r="A204" t="str">
        <v>database</v>
      </c>
      <c r="B204" t="str">
        <v>Month</v>
      </c>
      <c r="C204">
        <v>1</v>
      </c>
      <c r="D204">
        <v>3200</v>
      </c>
      <c r="E204">
        <f>C204*D204</f>
        <v>3200</v>
      </c>
      <c r="F204">
        <f>E204*12</f>
        <v>38400</v>
      </c>
      <c r="G204">
        <f>E204*6</f>
        <v>19200</v>
      </c>
      <c r="H204" t="str">
        <v/>
      </c>
      <c r="I204">
        <f>E204*Assumptions!$B$4</f>
        <v>302240</v>
      </c>
      <c r="J204">
        <f>F204*Assumptions!$B$4</f>
        <v>3626880</v>
      </c>
      <c r="K204">
        <f>G204*Assumptions!$B$4</f>
        <v>1813440</v>
      </c>
    </row>
    <row r="205">
      <c r="A205" t="str">
        <v>storage</v>
      </c>
      <c r="B205" t="str">
        <v>Month</v>
      </c>
      <c r="C205">
        <v>1</v>
      </c>
      <c r="D205">
        <v>1000</v>
      </c>
      <c r="E205">
        <f>C205*D205</f>
        <v>1000</v>
      </c>
      <c r="F205">
        <f>E205*12</f>
        <v>12000</v>
      </c>
      <c r="G205">
        <f>E205*6</f>
        <v>6000</v>
      </c>
      <c r="H205" t="str">
        <v/>
      </c>
      <c r="I205">
        <f>E205*Assumptions!$B$4</f>
        <v>94450</v>
      </c>
      <c r="J205">
        <f>F205*Assumptions!$B$4</f>
        <v>1133400</v>
      </c>
      <c r="K205">
        <f>G205*Assumptions!$B$4</f>
        <v>566700</v>
      </c>
    </row>
    <row r="206">
      <c r="A206" t="str">
        <v>networking</v>
      </c>
      <c r="B206" t="str">
        <v>Month</v>
      </c>
      <c r="C206">
        <v>1</v>
      </c>
      <c r="D206">
        <v>600</v>
      </c>
      <c r="E206">
        <f>C206*D206</f>
        <v>600</v>
      </c>
      <c r="F206">
        <f>E206*12</f>
        <v>7200</v>
      </c>
      <c r="G206">
        <f>E206*6</f>
        <v>3600</v>
      </c>
      <c r="H206" t="str">
        <v/>
      </c>
      <c r="I206">
        <f>E206*Assumptions!$B$4</f>
        <v>56670</v>
      </c>
      <c r="J206">
        <f>F206*Assumptions!$B$4</f>
        <v>680040</v>
      </c>
      <c r="K206">
        <f>G206*Assumptions!$B$4</f>
        <v>340020</v>
      </c>
    </row>
    <row r="207">
      <c r="A207" t="str">
        <v>data_transfer</v>
      </c>
      <c r="B207" t="str">
        <v>Month</v>
      </c>
      <c r="C207">
        <v>1</v>
      </c>
      <c r="D207">
        <v>800</v>
      </c>
      <c r="E207">
        <f>C207*D207</f>
        <v>800</v>
      </c>
      <c r="F207">
        <f>E207*12</f>
        <v>9600</v>
      </c>
      <c r="G207">
        <f>E207*6</f>
        <v>4800</v>
      </c>
      <c r="H207" t="str">
        <v/>
      </c>
      <c r="I207">
        <f>E207*Assumptions!$B$4</f>
        <v>75560</v>
      </c>
      <c r="J207">
        <f>F207*Assumptions!$B$4</f>
        <v>906720</v>
      </c>
      <c r="K207">
        <f>G207*Assumptions!$B$4</f>
        <v>453360</v>
      </c>
    </row>
    <row r="208">
      <c r="A208" t="str">
        <v>monitoring</v>
      </c>
      <c r="B208" t="str">
        <v>Month</v>
      </c>
      <c r="C208">
        <v>1</v>
      </c>
      <c r="D208">
        <v>250</v>
      </c>
      <c r="E208">
        <f>C208*D208</f>
        <v>250</v>
      </c>
      <c r="F208">
        <f>E208*12</f>
        <v>3000</v>
      </c>
      <c r="G208">
        <f>E208*6</f>
        <v>1500</v>
      </c>
      <c r="H208" t="str">
        <v/>
      </c>
      <c r="I208">
        <f>E208*Assumptions!$B$4</f>
        <v>23612.5</v>
      </c>
      <c r="J208">
        <f>F208*Assumptions!$B$4</f>
        <v>283350</v>
      </c>
      <c r="K208">
        <f>G208*Assumptions!$B$4</f>
        <v>141675</v>
      </c>
    </row>
    <row r="209">
      <c r="A209" t="str">
        <v>backups</v>
      </c>
      <c r="B209" t="str">
        <v>Month</v>
      </c>
      <c r="C209">
        <v>1</v>
      </c>
      <c r="D209">
        <v>400</v>
      </c>
      <c r="E209">
        <f>C209*D209</f>
        <v>400</v>
      </c>
      <c r="F209">
        <f>E209*12</f>
        <v>4800</v>
      </c>
      <c r="G209">
        <f>E209*6</f>
        <v>2400</v>
      </c>
      <c r="H209" t="str">
        <v/>
      </c>
      <c r="I209">
        <f>E209*Assumptions!$B$4</f>
        <v>37780</v>
      </c>
      <c r="J209">
        <f>F209*Assumptions!$B$4</f>
        <v>453360</v>
      </c>
      <c r="K209">
        <f>G209*Assumptions!$B$4</f>
        <v>226680</v>
      </c>
    </row>
    <row r="210">
      <c r="A210" t="str">
        <v>AWS Subtotal</v>
      </c>
      <c r="B210" t="str">
        <v/>
      </c>
      <c r="C210" t="str">
        <v/>
      </c>
      <c r="D210" t="str">
        <v/>
      </c>
      <c r="E210">
        <f>SUM(E203:E209)</f>
        <v>10750</v>
      </c>
      <c r="F210">
        <f>E210*12</f>
        <v>129000</v>
      </c>
      <c r="G210">
        <f>E210*6</f>
        <v>64500</v>
      </c>
      <c r="H210" t="str">
        <v/>
      </c>
      <c r="I210">
        <f>E210*Assumptions!$B$4</f>
        <v>1015337.5</v>
      </c>
      <c r="J210">
        <f>F210*Assumptions!$B$4</f>
        <v>12184050</v>
      </c>
      <c r="K210">
        <f>G210*Assumptions!$B$4</f>
        <v>6092025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>Engineering Team (India-based)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</row>
    <row r="213">
      <c r="A213" t="str">
        <v>Senior Dev</v>
      </c>
      <c r="B213" t="str">
        <v>Person</v>
      </c>
      <c r="C213">
        <v>4</v>
      </c>
      <c r="D213">
        <f>Assumptions!$B$11/Assumptions!$B$4</f>
        <v>3529.2006352567496</v>
      </c>
      <c r="E213">
        <f>C213*D213</f>
        <v>14116.802541026998</v>
      </c>
      <c r="F213">
        <f>E213*12</f>
        <v>169401.63049232398</v>
      </c>
      <c r="G213">
        <f>E213*6</f>
        <v>84700.81524616199</v>
      </c>
      <c r="H213" t="str">
        <v/>
      </c>
      <c r="I213">
        <f>E213*Assumptions!$B$4</f>
        <v>1333332</v>
      </c>
      <c r="J213">
        <f>F213*Assumptions!$B$4</f>
        <v>15999984</v>
      </c>
      <c r="K213">
        <f>G213*Assumptions!$B$4</f>
        <v>7999992</v>
      </c>
    </row>
    <row r="214">
      <c r="A214" t="str">
        <v>Mid-level Dev</v>
      </c>
      <c r="B214" t="str">
        <v>Person</v>
      </c>
      <c r="C214">
        <v>5</v>
      </c>
      <c r="D214">
        <f>Assumptions!$B$10/Assumptions!$B$4</f>
        <v>1941.0587612493382</v>
      </c>
      <c r="E214">
        <f>C214*D214</f>
        <v>9705.293806246691</v>
      </c>
      <c r="F214">
        <f>E214*12</f>
        <v>116463.52567496028</v>
      </c>
      <c r="G214">
        <f>E214*6</f>
        <v>58231.76283748014</v>
      </c>
      <c r="H214" t="str">
        <v/>
      </c>
      <c r="I214">
        <f>E214*Assumptions!$B$4</f>
        <v>916665</v>
      </c>
      <c r="J214">
        <f>F214*Assumptions!$B$4</f>
        <v>10999980</v>
      </c>
      <c r="K214">
        <f>G214*Assumptions!$B$4</f>
        <v>5499990</v>
      </c>
    </row>
    <row r="215">
      <c r="A215" t="str">
        <v>Junior Dev</v>
      </c>
      <c r="B215" t="str">
        <v>Person</v>
      </c>
      <c r="C215">
        <v>4</v>
      </c>
      <c r="D215">
        <f>Assumptions!$B$9/Assumptions!$B$4</f>
        <v>882.297511911064</v>
      </c>
      <c r="E215">
        <f>C215*D215</f>
        <v>3529.190047644256</v>
      </c>
      <c r="F215">
        <f>E215*12</f>
        <v>42350.28057173107</v>
      </c>
      <c r="G215">
        <f>E215*6</f>
        <v>21175.140285865535</v>
      </c>
      <c r="H215" t="str">
        <v/>
      </c>
      <c r="I215">
        <f>E215*Assumptions!$B$4</f>
        <v>333332</v>
      </c>
      <c r="J215">
        <f>F215*Assumptions!$B$4</f>
        <v>3999983.9999999995</v>
      </c>
      <c r="K215">
        <f>G215*Assumptions!$B$4</f>
        <v>1999991.9999999998</v>
      </c>
    </row>
    <row r="216">
      <c r="A216" t="str">
        <v>DevOps</v>
      </c>
      <c r="B216" t="str">
        <v>Person</v>
      </c>
      <c r="C216">
        <v>2</v>
      </c>
      <c r="D216">
        <f>Assumptions!$B$13/Assumptions!$B$4</f>
        <v>1941.0587612493382</v>
      </c>
      <c r="E216">
        <f>C216*D216</f>
        <v>3882.1175224986764</v>
      </c>
      <c r="F216">
        <f>E216*12</f>
        <v>46585.41026998412</v>
      </c>
      <c r="G216">
        <f>E216*6</f>
        <v>23292.70513499206</v>
      </c>
      <c r="H216" t="str">
        <v/>
      </c>
      <c r="I216">
        <f>E216*Assumptions!$B$4</f>
        <v>366666</v>
      </c>
      <c r="J216">
        <f>F216*Assumptions!$B$4</f>
        <v>4399992</v>
      </c>
      <c r="K216">
        <f>G216*Assumptions!$B$4</f>
        <v>2199996</v>
      </c>
    </row>
    <row r="217">
      <c r="A217" t="str">
        <v>QA</v>
      </c>
      <c r="B217" t="str">
        <v>Person</v>
      </c>
      <c r="C217">
        <v>3</v>
      </c>
      <c r="D217">
        <f>Assumptions!$B$14/Assumptions!$B$4</f>
        <v>1058.7612493382742</v>
      </c>
      <c r="E217">
        <f>C217*D217</f>
        <v>3176.283748014823</v>
      </c>
      <c r="F217">
        <f>E217*12</f>
        <v>38115.40497617787</v>
      </c>
      <c r="G217">
        <f>E217*6</f>
        <v>19057.702488088937</v>
      </c>
      <c r="H217" t="str">
        <v/>
      </c>
      <c r="I217">
        <f>E217*Assumptions!$B$4</f>
        <v>300000</v>
      </c>
      <c r="J217">
        <f>F217*Assumptions!$B$4</f>
        <v>3600000.0000000005</v>
      </c>
      <c r="K217">
        <f>G217*Assumptions!$B$4</f>
        <v>1800000.0000000002</v>
      </c>
    </row>
    <row r="218">
      <c r="A218" t="str">
        <v>Product Manager</v>
      </c>
      <c r="B218" t="str">
        <v>Person</v>
      </c>
      <c r="C218">
        <v>2</v>
      </c>
      <c r="D218">
        <f>Assumptions!$B$15/Assumptions!$B$4</f>
        <v>2470.439385918475</v>
      </c>
      <c r="E218">
        <f>C218*D218</f>
        <v>4940.87877183695</v>
      </c>
      <c r="F218">
        <f>E218*12</f>
        <v>59290.54526204341</v>
      </c>
      <c r="G218">
        <f>E218*6</f>
        <v>29645.272631021704</v>
      </c>
      <c r="H218" t="str">
        <v/>
      </c>
      <c r="I218">
        <f>E218*Assumptions!$B$4</f>
        <v>466666</v>
      </c>
      <c r="J218">
        <f>F218*Assumptions!$B$4</f>
        <v>5599992</v>
      </c>
      <c r="K218">
        <f>G218*Assumptions!$B$4</f>
        <v>2799996</v>
      </c>
    </row>
    <row r="219">
      <c r="A219" t="str">
        <v>Designer</v>
      </c>
      <c r="B219" t="str">
        <v>Person</v>
      </c>
      <c r="C219">
        <v>2</v>
      </c>
      <c r="D219">
        <f>Assumptions!$B$16/Assumptions!$B$4</f>
        <v>1411.6781365802012</v>
      </c>
      <c r="E219">
        <f>C219*D219</f>
        <v>2823.3562731604025</v>
      </c>
      <c r="F219">
        <f>E219*12</f>
        <v>33880.275277924826</v>
      </c>
      <c r="G219">
        <f>E219*6</f>
        <v>16940.137638962413</v>
      </c>
      <c r="H219" t="str">
        <v/>
      </c>
      <c r="I219">
        <f>E219*Assumptions!$B$4</f>
        <v>266666</v>
      </c>
      <c r="J219">
        <f>F219*Assumptions!$B$4</f>
        <v>3199992</v>
      </c>
      <c r="K219">
        <f>G219*Assumptions!$B$4</f>
        <v>1599996</v>
      </c>
    </row>
    <row r="220">
      <c r="A220" t="str">
        <v>Tech Lead</v>
      </c>
      <c r="B220" t="str">
        <v>Person</v>
      </c>
      <c r="C220">
        <v>1</v>
      </c>
      <c r="D220">
        <f>Assumptions!$B$12/Assumptions!$B$4</f>
        <v>4852.652196929592</v>
      </c>
      <c r="E220">
        <f>C220*D220</f>
        <v>4852.652196929592</v>
      </c>
      <c r="F220">
        <f>E220*12</f>
        <v>58231.8263631551</v>
      </c>
      <c r="G220">
        <f>E220*6</f>
        <v>29115.91318157755</v>
      </c>
      <c r="H220" t="str">
        <v/>
      </c>
      <c r="I220">
        <f>E220*Assumptions!$B$4</f>
        <v>458332.99999999994</v>
      </c>
      <c r="J220">
        <f>F220*Assumptions!$B$4</f>
        <v>5499995.999999999</v>
      </c>
      <c r="K220">
        <f>G220*Assumptions!$B$4</f>
        <v>2749997.9999999995</v>
      </c>
    </row>
    <row r="221">
      <c r="A221" t="str">
        <v>Support</v>
      </c>
      <c r="B221" t="str">
        <v>Person</v>
      </c>
      <c r="C221">
        <v>2</v>
      </c>
      <c r="D221">
        <f>Assumptions!$B$17/Assumptions!$B$4</f>
        <v>529.3806246691371</v>
      </c>
      <c r="E221">
        <f>C221*D221</f>
        <v>1058.7612493382742</v>
      </c>
      <c r="F221">
        <f>E221*12</f>
        <v>12705.134992059291</v>
      </c>
      <c r="G221">
        <f>E221*6</f>
        <v>6352.567496029646</v>
      </c>
      <c r="H221" t="str">
        <v/>
      </c>
      <c r="I221">
        <f>E221*Assumptions!$B$4</f>
        <v>100000</v>
      </c>
      <c r="J221">
        <f>F221*Assumptions!$B$4</f>
        <v>1200000</v>
      </c>
      <c r="K221">
        <f>G221*Assumptions!$B$4</f>
        <v>600000</v>
      </c>
    </row>
    <row r="222">
      <c r="A222" t="str">
        <v>Office Space (Bangalore)</v>
      </c>
      <c r="B222" t="str">
        <v>Month</v>
      </c>
      <c r="C222">
        <v>1</v>
      </c>
      <c r="D222">
        <v>2500</v>
      </c>
      <c r="E222">
        <f>C222*D222</f>
        <v>2500</v>
      </c>
      <c r="F222">
        <f>E222*12</f>
        <v>30000</v>
      </c>
      <c r="G222">
        <f>E222*6</f>
        <v>15000</v>
      </c>
      <c r="H222" t="str">
        <v/>
      </c>
      <c r="I222">
        <f>E222*Assumptions!$B$4</f>
        <v>236125</v>
      </c>
      <c r="J222">
        <f>F222*Assumptions!$B$4</f>
        <v>2833500</v>
      </c>
      <c r="K222">
        <f>G222*Assumptions!$B$4</f>
        <v>1416750</v>
      </c>
    </row>
    <row r="223">
      <c r="A223" t="str">
        <v>Utilities &amp; Internet</v>
      </c>
      <c r="B223" t="str">
        <v>Month</v>
      </c>
      <c r="C223">
        <v>1</v>
      </c>
      <c r="D223">
        <v>500</v>
      </c>
      <c r="E223">
        <f>C223*D223</f>
        <v>500</v>
      </c>
      <c r="F223">
        <f>E223*12</f>
        <v>6000</v>
      </c>
      <c r="G223">
        <f>E223*6</f>
        <v>3000</v>
      </c>
      <c r="H223" t="str">
        <v/>
      </c>
      <c r="I223">
        <f>E223*Assumptions!$B$4</f>
        <v>47225</v>
      </c>
      <c r="J223">
        <f>F223*Assumptions!$B$4</f>
        <v>566700</v>
      </c>
      <c r="K223">
        <f>G223*Assumptions!$B$4</f>
        <v>283350</v>
      </c>
    </row>
    <row r="224">
      <c r="A224" t="str">
        <v>Team Subtotal</v>
      </c>
      <c r="B224" t="str">
        <v/>
      </c>
      <c r="C224" t="str">
        <v/>
      </c>
      <c r="D224" t="str">
        <v/>
      </c>
      <c r="E224">
        <f>SUM(E213:E223)</f>
        <v>51085.33615669667</v>
      </c>
      <c r="F224">
        <f>E224*12</f>
        <v>613024.0338803601</v>
      </c>
      <c r="G224">
        <f>E224*6</f>
        <v>306512.01694018004</v>
      </c>
      <c r="H224" t="str">
        <v/>
      </c>
      <c r="I224">
        <f>E224*Assumptions!$B$4</f>
        <v>4825010.000000001</v>
      </c>
      <c r="J224">
        <f>F224*Assumptions!$B$4</f>
        <v>57900120.00000001</v>
      </c>
      <c r="K224">
        <f>G224*Assumptions!$B$4</f>
        <v>28950060.000000004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</row>
    <row r="226">
      <c r="A226" t="str">
        <v>Customer Acquisition (CAC-based)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>New user acquisition (paid + organic, blended)</v>
      </c>
      <c r="B227" t="str">
        <v>New users/mo</v>
      </c>
      <c r="C227">
        <v>4167</v>
      </c>
      <c r="D227">
        <f>Assumptions!$B$26</f>
        <v>4</v>
      </c>
      <c r="E227">
        <f>C227*D227</f>
        <v>16668</v>
      </c>
      <c r="F227">
        <f>E227*12</f>
        <v>200016</v>
      </c>
      <c r="G227">
        <f>E227*6</f>
        <v>100008</v>
      </c>
      <c r="H227" t="str">
        <v>25,000 net-new users over Months 25-30 (25,000→50,000) ÷ 6mo = 4,167/mo net-new × Year 3 blended CAC ($4). Added 2026-09-08 -- previously the CAC stated in the Pitch Deck's unit-economics table was never charged against this cost model.</v>
      </c>
      <c r="I227">
        <f>E227*Assumptions!$B$4</f>
        <v>1574292.6</v>
      </c>
      <c r="J227">
        <f>F227*Assumptions!$B$4</f>
        <v>18891511.2</v>
      </c>
      <c r="K227">
        <f>G227*Assumptions!$B$4</f>
        <v>9445755.6</v>
      </c>
    </row>
    <row r="228">
      <c r="A228" t="str">
        <v>Customer Acquisition Subtotal</v>
      </c>
      <c r="B228" t="str">
        <v/>
      </c>
      <c r="C228" t="str">
        <v/>
      </c>
      <c r="D228" t="str">
        <v/>
      </c>
      <c r="E228">
        <f>SUM(E227:E227)</f>
        <v>16668</v>
      </c>
      <c r="F228">
        <f>E228*12</f>
        <v>200016</v>
      </c>
      <c r="G228">
        <f>E228*6</f>
        <v>100008</v>
      </c>
      <c r="H228" t="str">
        <v/>
      </c>
      <c r="I228">
        <f>E228*Assumptions!$B$4</f>
        <v>1574292.6</v>
      </c>
      <c r="J228">
        <f>F228*Assumptions!$B$4</f>
        <v>18891511.2</v>
      </c>
      <c r="K228">
        <f>G228*Assumptions!$B$4</f>
        <v>9445755.6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 t="str">
        <v>Operating Costs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</row>
    <row r="231">
      <c r="A231" t="str">
        <v>SaaS Tools (Jira, Slack, etc.)</v>
      </c>
      <c r="B231" t="str">
        <v>Month</v>
      </c>
      <c r="C231">
        <v>1</v>
      </c>
      <c r="D231">
        <v>300</v>
      </c>
      <c r="E231">
        <f>C231*D231</f>
        <v>300</v>
      </c>
      <c r="F231">
        <f>E231*12</f>
        <v>3600</v>
      </c>
      <c r="G231">
        <f>E231*6</f>
        <v>1800</v>
      </c>
      <c r="H231" t="str">
        <v/>
      </c>
      <c r="I231">
        <f>E231*Assumptions!$B$4</f>
        <v>28335</v>
      </c>
      <c r="J231">
        <f>F231*Assumptions!$B$4</f>
        <v>340020</v>
      </c>
      <c r="K231">
        <f>G231*Assumptions!$B$4</f>
        <v>170010</v>
      </c>
    </row>
    <row r="232">
      <c r="A232" t="str">
        <v>DevOps Tools (CI/CD, monitoring)</v>
      </c>
      <c r="B232" t="str">
        <v>Month</v>
      </c>
      <c r="C232">
        <v>1</v>
      </c>
      <c r="D232">
        <v>200</v>
      </c>
      <c r="E232">
        <f>C232*D232</f>
        <v>200</v>
      </c>
      <c r="F232">
        <f>E232*12</f>
        <v>2400</v>
      </c>
      <c r="G232">
        <f>E232*6</f>
        <v>1200</v>
      </c>
      <c r="H232" t="str">
        <v/>
      </c>
      <c r="I232">
        <f>E232*Assumptions!$B$4</f>
        <v>18890</v>
      </c>
      <c r="J232">
        <f>F232*Assumptions!$B$4</f>
        <v>226680</v>
      </c>
      <c r="K232">
        <f>G232*Assumptions!$B$4</f>
        <v>113340</v>
      </c>
    </row>
    <row r="233">
      <c r="A233" t="str">
        <v>Communication &amp; Collaboration</v>
      </c>
      <c r="B233" t="str">
        <v>Month</v>
      </c>
      <c r="C233">
        <v>1</v>
      </c>
      <c r="D233">
        <v>150</v>
      </c>
      <c r="E233">
        <f>C233*D233</f>
        <v>150</v>
      </c>
      <c r="F233">
        <f>E233*12</f>
        <v>1800</v>
      </c>
      <c r="G233">
        <f>E233*6</f>
        <v>900</v>
      </c>
      <c r="H233" t="str">
        <v/>
      </c>
      <c r="I233">
        <f>E233*Assumptions!$B$4</f>
        <v>14167.5</v>
      </c>
      <c r="J233">
        <f>F233*Assumptions!$B$4</f>
        <v>170010</v>
      </c>
      <c r="K233">
        <f>G233*Assumptions!$B$4</f>
        <v>85005</v>
      </c>
    </row>
    <row r="234">
      <c r="A234" t="str">
        <v>Professional Development</v>
      </c>
      <c r="B234" t="str">
        <v>Month</v>
      </c>
      <c r="C234">
        <v>1</v>
      </c>
      <c r="D234">
        <v>200</v>
      </c>
      <c r="E234">
        <f>C234*D234</f>
        <v>200</v>
      </c>
      <c r="F234">
        <f>E234*12</f>
        <v>2400</v>
      </c>
      <c r="G234">
        <f>E234*6</f>
        <v>1200</v>
      </c>
      <c r="H234" t="str">
        <v/>
      </c>
      <c r="I234">
        <f>E234*Assumptions!$B$4</f>
        <v>18890</v>
      </c>
      <c r="J234">
        <f>F234*Assumptions!$B$4</f>
        <v>226680</v>
      </c>
      <c r="K234">
        <f>G234*Assumptions!$B$4</f>
        <v>113340</v>
      </c>
    </row>
    <row r="235">
      <c r="A235" t="str">
        <v>Insurance &amp; Compliance</v>
      </c>
      <c r="B235" t="str">
        <v>Month</v>
      </c>
      <c r="C235">
        <v>1</v>
      </c>
      <c r="D235">
        <v>300</v>
      </c>
      <c r="E235">
        <f>C235*D235</f>
        <v>300</v>
      </c>
      <c r="F235">
        <f>E235*12</f>
        <v>3600</v>
      </c>
      <c r="G235">
        <f>E235*6</f>
        <v>1800</v>
      </c>
      <c r="H235" t="str">
        <v/>
      </c>
      <c r="I235">
        <f>E235*Assumptions!$B$4</f>
        <v>28335</v>
      </c>
      <c r="J235">
        <f>F235*Assumptions!$B$4</f>
        <v>340020</v>
      </c>
      <c r="K235">
        <f>G235*Assumptions!$B$4</f>
        <v>170010</v>
      </c>
    </row>
    <row r="236">
      <c r="A236" t="str">
        <v>Marketing &amp; Community</v>
      </c>
      <c r="B236" t="str">
        <v>Month</v>
      </c>
      <c r="C236">
        <v>1</v>
      </c>
      <c r="D236">
        <v>500</v>
      </c>
      <c r="E236">
        <f>C236*D236</f>
        <v>500</v>
      </c>
      <c r="F236">
        <f>E236*12</f>
        <v>6000</v>
      </c>
      <c r="G236">
        <f>E236*6</f>
        <v>3000</v>
      </c>
      <c r="H236" t="str">
        <v/>
      </c>
      <c r="I236">
        <f>E236*Assumptions!$B$4</f>
        <v>47225</v>
      </c>
      <c r="J236">
        <f>F236*Assumptions!$B$4</f>
        <v>566700</v>
      </c>
      <c r="K236">
        <f>G236*Assumptions!$B$4</f>
        <v>283350</v>
      </c>
    </row>
    <row r="237">
      <c r="A237" t="str">
        <v>Operating Subtotal</v>
      </c>
      <c r="B237" t="str">
        <v/>
      </c>
      <c r="C237" t="str">
        <v/>
      </c>
      <c r="D237" t="str">
        <v/>
      </c>
      <c r="E237">
        <f>SUM(E231:E236)</f>
        <v>1650</v>
      </c>
      <c r="F237">
        <f>E237*12</f>
        <v>19800</v>
      </c>
      <c r="G237">
        <f>E237*6</f>
        <v>9900</v>
      </c>
      <c r="H237" t="str">
        <v/>
      </c>
      <c r="I237">
        <f>E237*Assumptions!$B$4</f>
        <v>155842.5</v>
      </c>
      <c r="J237">
        <f>F237*Assumptions!$B$4</f>
        <v>1870110</v>
      </c>
      <c r="K237">
        <f>G237*Assumptions!$B$4</f>
        <v>935055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</row>
    <row r="239">
      <c r="A239" t="str">
        <v>TOTAL MONTHLY COST</v>
      </c>
      <c r="B239" t="str">
        <v/>
      </c>
      <c r="C239" t="str">
        <v/>
      </c>
      <c r="D239" t="str">
        <v/>
      </c>
      <c r="E239">
        <f>E210+E224+E228+E237</f>
        <v>80153.33615669666</v>
      </c>
      <c r="F239">
        <f>E239*12</f>
        <v>961840.03388036</v>
      </c>
      <c r="G239">
        <f>E239*6</f>
        <v>480920.01694018</v>
      </c>
      <c r="H239" t="str">
        <v/>
      </c>
      <c r="I239">
        <f>E239*Assumptions!$B$4</f>
        <v>7570482.6</v>
      </c>
      <c r="J239">
        <f>F239*Assumptions!$B$4</f>
        <v>90845791.2</v>
      </c>
      <c r="K239">
        <f>G239*Assumptions!$B$4</f>
        <v>45422895.6</v>
      </c>
    </row>
    <row r="240">
      <c r="A240" t="str">
        <v>Cost per User (Monthly)</v>
      </c>
      <c r="B240" t="str">
        <v/>
      </c>
      <c r="C240" t="str">
        <v/>
      </c>
      <c r="D240" t="str">
        <v/>
      </c>
      <c r="E240">
        <f>E239/50000</f>
        <v>1.6030667231339333</v>
      </c>
      <c r="F240" t="str">
        <v/>
      </c>
      <c r="G240" t="str">
        <v/>
      </c>
      <c r="H240" t="str">
        <v/>
      </c>
      <c r="I240">
        <f>E240*Assumptions!$B$4</f>
        <v>151.409652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</row>
    <row r="243">
      <c r="A243" t="str">
        <v>Month 36 — 100,000 Users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>
      <c r="A244" t="str">
        <v>Category</v>
      </c>
      <c r="B244" t="str">
        <v>Unit</v>
      </c>
      <c r="C244" t="str">
        <v>Quantity</v>
      </c>
      <c r="D244" t="str">
        <v>Unit Cost (USD)</v>
      </c>
      <c r="E244" t="str">
        <v>Monthly Cost (USD)</v>
      </c>
      <c r="F244" t="str">
        <v>Annual Cost (USD)</v>
      </c>
      <c r="G244" t="str">
        <v>6-Month Cost (USD)</v>
      </c>
      <c r="H244" t="str">
        <v>Notes</v>
      </c>
      <c r="I244" t="str">
        <v>Monthly Cost (INR)</v>
      </c>
      <c r="J244" t="str">
        <v>Annual Cost (INR)</v>
      </c>
      <c r="K244" t="str">
        <v>6-Month Cost (INR)</v>
      </c>
    </row>
    <row r="245">
      <c r="A245" t="str">
        <v>AWS Infrastructure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</row>
    <row r="246">
      <c r="A246" t="str">
        <v>compute</v>
      </c>
      <c r="B246" t="str">
        <v>Month</v>
      </c>
      <c r="C246">
        <v>1</v>
      </c>
      <c r="D246">
        <v>8000</v>
      </c>
      <c r="E246">
        <f>C246*D246</f>
        <v>8000</v>
      </c>
      <c r="F246">
        <f>E246*12</f>
        <v>96000</v>
      </c>
      <c r="G246">
        <f>E246*6</f>
        <v>48000</v>
      </c>
      <c r="H246" t="str">
        <v/>
      </c>
      <c r="I246">
        <f>E246*Assumptions!$B$4</f>
        <v>755600</v>
      </c>
      <c r="J246">
        <f>F246*Assumptions!$B$4</f>
        <v>9067200</v>
      </c>
      <c r="K246">
        <f>G246*Assumptions!$B$4</f>
        <v>4533600</v>
      </c>
    </row>
    <row r="247">
      <c r="A247" t="str">
        <v>database</v>
      </c>
      <c r="B247" t="str">
        <v>Month</v>
      </c>
      <c r="C247">
        <v>1</v>
      </c>
      <c r="D247">
        <v>5500</v>
      </c>
      <c r="E247">
        <f>C247*D247</f>
        <v>5500</v>
      </c>
      <c r="F247">
        <f>E247*12</f>
        <v>66000</v>
      </c>
      <c r="G247">
        <f>E247*6</f>
        <v>33000</v>
      </c>
      <c r="H247" t="str">
        <v/>
      </c>
      <c r="I247">
        <f>E247*Assumptions!$B$4</f>
        <v>519475</v>
      </c>
      <c r="J247">
        <f>F247*Assumptions!$B$4</f>
        <v>6233700</v>
      </c>
      <c r="K247">
        <f>G247*Assumptions!$B$4</f>
        <v>3116850</v>
      </c>
    </row>
    <row r="248">
      <c r="A248" t="str">
        <v>storage</v>
      </c>
      <c r="B248" t="str">
        <v>Month</v>
      </c>
      <c r="C248">
        <v>1</v>
      </c>
      <c r="D248">
        <v>1800</v>
      </c>
      <c r="E248">
        <f>C248*D248</f>
        <v>1800</v>
      </c>
      <c r="F248">
        <f>E248*12</f>
        <v>21600</v>
      </c>
      <c r="G248">
        <f>E248*6</f>
        <v>10800</v>
      </c>
      <c r="H248" t="str">
        <v/>
      </c>
      <c r="I248">
        <f>E248*Assumptions!$B$4</f>
        <v>170010</v>
      </c>
      <c r="J248">
        <f>F248*Assumptions!$B$4</f>
        <v>2040120</v>
      </c>
      <c r="K248">
        <f>G248*Assumptions!$B$4</f>
        <v>1020060</v>
      </c>
    </row>
    <row r="249">
      <c r="A249" t="str">
        <v>networking</v>
      </c>
      <c r="B249" t="str">
        <v>Month</v>
      </c>
      <c r="C249">
        <v>1</v>
      </c>
      <c r="D249">
        <v>1000</v>
      </c>
      <c r="E249">
        <f>C249*D249</f>
        <v>1000</v>
      </c>
      <c r="F249">
        <f>E249*12</f>
        <v>12000</v>
      </c>
      <c r="G249">
        <f>E249*6</f>
        <v>6000</v>
      </c>
      <c r="H249" t="str">
        <v/>
      </c>
      <c r="I249">
        <f>E249*Assumptions!$B$4</f>
        <v>94450</v>
      </c>
      <c r="J249">
        <f>F249*Assumptions!$B$4</f>
        <v>1133400</v>
      </c>
      <c r="K249">
        <f>G249*Assumptions!$B$4</f>
        <v>566700</v>
      </c>
    </row>
    <row r="250">
      <c r="A250" t="str">
        <v>data_transfer</v>
      </c>
      <c r="B250" t="str">
        <v>Month</v>
      </c>
      <c r="C250">
        <v>1</v>
      </c>
      <c r="D250">
        <v>1200</v>
      </c>
      <c r="E250">
        <f>C250*D250</f>
        <v>1200</v>
      </c>
      <c r="F250">
        <f>E250*12</f>
        <v>14400</v>
      </c>
      <c r="G250">
        <f>E250*6</f>
        <v>7200</v>
      </c>
      <c r="H250" t="str">
        <v/>
      </c>
      <c r="I250">
        <f>E250*Assumptions!$B$4</f>
        <v>113340</v>
      </c>
      <c r="J250">
        <f>F250*Assumptions!$B$4</f>
        <v>1360080</v>
      </c>
      <c r="K250">
        <f>G250*Assumptions!$B$4</f>
        <v>680040</v>
      </c>
    </row>
    <row r="251">
      <c r="A251" t="str">
        <v>monitoring</v>
      </c>
      <c r="B251" t="str">
        <v>Month</v>
      </c>
      <c r="C251">
        <v>1</v>
      </c>
      <c r="D251">
        <v>400</v>
      </c>
      <c r="E251">
        <f>C251*D251</f>
        <v>400</v>
      </c>
      <c r="F251">
        <f>E251*12</f>
        <v>4800</v>
      </c>
      <c r="G251">
        <f>E251*6</f>
        <v>2400</v>
      </c>
      <c r="H251" t="str">
        <v/>
      </c>
      <c r="I251">
        <f>E251*Assumptions!$B$4</f>
        <v>37780</v>
      </c>
      <c r="J251">
        <f>F251*Assumptions!$B$4</f>
        <v>453360</v>
      </c>
      <c r="K251">
        <f>G251*Assumptions!$B$4</f>
        <v>226680</v>
      </c>
    </row>
    <row r="252">
      <c r="A252" t="str">
        <v>backups</v>
      </c>
      <c r="B252" t="str">
        <v>Month</v>
      </c>
      <c r="C252">
        <v>1</v>
      </c>
      <c r="D252">
        <v>600</v>
      </c>
      <c r="E252">
        <f>C252*D252</f>
        <v>600</v>
      </c>
      <c r="F252">
        <f>E252*12</f>
        <v>7200</v>
      </c>
      <c r="G252">
        <f>E252*6</f>
        <v>3600</v>
      </c>
      <c r="H252" t="str">
        <v/>
      </c>
      <c r="I252">
        <f>E252*Assumptions!$B$4</f>
        <v>56670</v>
      </c>
      <c r="J252">
        <f>F252*Assumptions!$B$4</f>
        <v>680040</v>
      </c>
      <c r="K252">
        <f>G252*Assumptions!$B$4</f>
        <v>340020</v>
      </c>
    </row>
    <row r="253">
      <c r="A253" t="str">
        <v>AWS Subtotal</v>
      </c>
      <c r="B253" t="str">
        <v/>
      </c>
      <c r="C253" t="str">
        <v/>
      </c>
      <c r="D253" t="str">
        <v/>
      </c>
      <c r="E253">
        <f>SUM(E246:E252)</f>
        <v>18500</v>
      </c>
      <c r="F253">
        <f>E253*12</f>
        <v>222000</v>
      </c>
      <c r="G253">
        <f>E253*6</f>
        <v>111000</v>
      </c>
      <c r="H253" t="str">
        <v/>
      </c>
      <c r="I253">
        <f>E253*Assumptions!$B$4</f>
        <v>1747325</v>
      </c>
      <c r="J253">
        <f>F253*Assumptions!$B$4</f>
        <v>20967900</v>
      </c>
      <c r="K253">
        <f>G253*Assumptions!$B$4</f>
        <v>10483950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</row>
    <row r="255">
      <c r="A255" t="str">
        <v>Engineering Team (India-based)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>Senior Dev</v>
      </c>
      <c r="B256" t="str">
        <v>Person</v>
      </c>
      <c r="C256">
        <v>5</v>
      </c>
      <c r="D256">
        <f>Assumptions!$B$11/Assumptions!$B$4</f>
        <v>3529.2006352567496</v>
      </c>
      <c r="E256">
        <f>C256*D256</f>
        <v>17646.003176283746</v>
      </c>
      <c r="F256">
        <f>E256*12</f>
        <v>211752.03811540495</v>
      </c>
      <c r="G256">
        <f>E256*6</f>
        <v>105876.01905770248</v>
      </c>
      <c r="H256" t="str">
        <v/>
      </c>
      <c r="I256">
        <f>E256*Assumptions!$B$4</f>
        <v>1666664.9999999998</v>
      </c>
      <c r="J256">
        <f>F256*Assumptions!$B$4</f>
        <v>19999980</v>
      </c>
      <c r="K256">
        <f>G256*Assumptions!$B$4</f>
        <v>9999990</v>
      </c>
    </row>
    <row r="257">
      <c r="A257" t="str">
        <v>Mid-level Dev</v>
      </c>
      <c r="B257" t="str">
        <v>Person</v>
      </c>
      <c r="C257">
        <v>7</v>
      </c>
      <c r="D257">
        <f>Assumptions!$B$10/Assumptions!$B$4</f>
        <v>1941.0587612493382</v>
      </c>
      <c r="E257">
        <f>C257*D257</f>
        <v>13587.411328745367</v>
      </c>
      <c r="F257">
        <f>E257*12</f>
        <v>163048.93594494442</v>
      </c>
      <c r="G257">
        <f>E257*6</f>
        <v>81524.46797247221</v>
      </c>
      <c r="H257" t="str">
        <v/>
      </c>
      <c r="I257">
        <f>E257*Assumptions!$B$4</f>
        <v>1283331</v>
      </c>
      <c r="J257">
        <f>F257*Assumptions!$B$4</f>
        <v>15399972</v>
      </c>
      <c r="K257">
        <f>G257*Assumptions!$B$4</f>
        <v>7699986</v>
      </c>
    </row>
    <row r="258">
      <c r="A258" t="str">
        <v>Junior Dev</v>
      </c>
      <c r="B258" t="str">
        <v>Person</v>
      </c>
      <c r="C258">
        <v>5</v>
      </c>
      <c r="D258">
        <f>Assumptions!$B$9/Assumptions!$B$4</f>
        <v>882.297511911064</v>
      </c>
      <c r="E258">
        <f>C258*D258</f>
        <v>4411.48755955532</v>
      </c>
      <c r="F258">
        <f>E258*12</f>
        <v>52937.850714663844</v>
      </c>
      <c r="G258">
        <f>E258*6</f>
        <v>26468.925357331922</v>
      </c>
      <c r="H258" t="str">
        <v/>
      </c>
      <c r="I258">
        <f>E258*Assumptions!$B$4</f>
        <v>416665</v>
      </c>
      <c r="J258">
        <f>F258*Assumptions!$B$4</f>
        <v>4999980</v>
      </c>
      <c r="K258">
        <f>G258*Assumptions!$B$4</f>
        <v>2499990</v>
      </c>
    </row>
    <row r="259">
      <c r="A259" t="str">
        <v>DevOps</v>
      </c>
      <c r="B259" t="str">
        <v>Person</v>
      </c>
      <c r="C259">
        <v>3</v>
      </c>
      <c r="D259">
        <f>Assumptions!$B$13/Assumptions!$B$4</f>
        <v>1941.0587612493382</v>
      </c>
      <c r="E259">
        <f>C259*D259</f>
        <v>5823.176283748015</v>
      </c>
      <c r="F259">
        <f>E259*12</f>
        <v>69878.11540497618</v>
      </c>
      <c r="G259">
        <f>E259*6</f>
        <v>34939.05770248809</v>
      </c>
      <c r="H259" t="str">
        <v/>
      </c>
      <c r="I259">
        <f>E259*Assumptions!$B$4</f>
        <v>549999</v>
      </c>
      <c r="J259">
        <f>F259*Assumptions!$B$4</f>
        <v>6599988.000000001</v>
      </c>
      <c r="K259">
        <f>G259*Assumptions!$B$4</f>
        <v>3299994.0000000005</v>
      </c>
    </row>
    <row r="260">
      <c r="A260" t="str">
        <v>QA</v>
      </c>
      <c r="B260" t="str">
        <v>Person</v>
      </c>
      <c r="C260">
        <v>4</v>
      </c>
      <c r="D260">
        <f>Assumptions!$B$14/Assumptions!$B$4</f>
        <v>1058.7612493382742</v>
      </c>
      <c r="E260">
        <f>C260*D260</f>
        <v>4235.044997353097</v>
      </c>
      <c r="F260">
        <f>E260*12</f>
        <v>50820.539968237164</v>
      </c>
      <c r="G260">
        <f>E260*6</f>
        <v>25410.269984118582</v>
      </c>
      <c r="H260" t="str">
        <v/>
      </c>
      <c r="I260">
        <f>E260*Assumptions!$B$4</f>
        <v>400000</v>
      </c>
      <c r="J260">
        <f>F260*Assumptions!$B$4</f>
        <v>4800000</v>
      </c>
      <c r="K260">
        <f>G260*Assumptions!$B$4</f>
        <v>2400000</v>
      </c>
    </row>
    <row r="261">
      <c r="A261" t="str">
        <v>Product Manager</v>
      </c>
      <c r="B261" t="str">
        <v>Person</v>
      </c>
      <c r="C261">
        <v>2</v>
      </c>
      <c r="D261">
        <f>Assumptions!$B$15/Assumptions!$B$4</f>
        <v>2470.439385918475</v>
      </c>
      <c r="E261">
        <f>C261*D261</f>
        <v>4940.87877183695</v>
      </c>
      <c r="F261">
        <f>E261*12</f>
        <v>59290.54526204341</v>
      </c>
      <c r="G261">
        <f>E261*6</f>
        <v>29645.272631021704</v>
      </c>
      <c r="H261" t="str">
        <v/>
      </c>
      <c r="I261">
        <f>E261*Assumptions!$B$4</f>
        <v>466666</v>
      </c>
      <c r="J261">
        <f>F261*Assumptions!$B$4</f>
        <v>5599992</v>
      </c>
      <c r="K261">
        <f>G261*Assumptions!$B$4</f>
        <v>2799996</v>
      </c>
    </row>
    <row r="262">
      <c r="A262" t="str">
        <v>Designer</v>
      </c>
      <c r="B262" t="str">
        <v>Person</v>
      </c>
      <c r="C262">
        <v>3</v>
      </c>
      <c r="D262">
        <f>Assumptions!$B$16/Assumptions!$B$4</f>
        <v>1411.6781365802012</v>
      </c>
      <c r="E262">
        <f>C262*D262</f>
        <v>4235.034409740603</v>
      </c>
      <c r="F262">
        <f>E262*12</f>
        <v>50820.41291688724</v>
      </c>
      <c r="G262">
        <f>E262*6</f>
        <v>25410.20645844362</v>
      </c>
      <c r="H262" t="str">
        <v/>
      </c>
      <c r="I262">
        <f>E262*Assumptions!$B$4</f>
        <v>399999</v>
      </c>
      <c r="J262">
        <f>F262*Assumptions!$B$4</f>
        <v>4799988</v>
      </c>
      <c r="K262">
        <f>G262*Assumptions!$B$4</f>
        <v>2399994</v>
      </c>
    </row>
    <row r="263">
      <c r="A263" t="str">
        <v>Tech Lead</v>
      </c>
      <c r="B263" t="str">
        <v>Person</v>
      </c>
      <c r="C263">
        <v>2</v>
      </c>
      <c r="D263">
        <f>Assumptions!$B$12/Assumptions!$B$4</f>
        <v>4852.652196929592</v>
      </c>
      <c r="E263">
        <f>C263*D263</f>
        <v>9705.304393859184</v>
      </c>
      <c r="F263">
        <f>E263*12</f>
        <v>116463.6527263102</v>
      </c>
      <c r="G263">
        <f>E263*6</f>
        <v>58231.8263631551</v>
      </c>
      <c r="H263" t="str">
        <v/>
      </c>
      <c r="I263">
        <f>E263*Assumptions!$B$4</f>
        <v>916665.9999999999</v>
      </c>
      <c r="J263">
        <f>F263*Assumptions!$B$4</f>
        <v>10999991.999999998</v>
      </c>
      <c r="K263">
        <f>G263*Assumptions!$B$4</f>
        <v>5499995.999999999</v>
      </c>
    </row>
    <row r="264">
      <c r="A264" t="str">
        <v>Support</v>
      </c>
      <c r="B264" t="str">
        <v>Person</v>
      </c>
      <c r="C264">
        <v>3</v>
      </c>
      <c r="D264">
        <f>Assumptions!$B$17/Assumptions!$B$4</f>
        <v>529.3806246691371</v>
      </c>
      <c r="E264">
        <f>C264*D264</f>
        <v>1588.1418740074114</v>
      </c>
      <c r="F264">
        <f>E264*12</f>
        <v>19057.702488088937</v>
      </c>
      <c r="G264">
        <f>E264*6</f>
        <v>9528.851244044468</v>
      </c>
      <c r="H264" t="str">
        <v/>
      </c>
      <c r="I264">
        <f>E264*Assumptions!$B$4</f>
        <v>150000</v>
      </c>
      <c r="J264">
        <f>F264*Assumptions!$B$4</f>
        <v>1800000.0000000002</v>
      </c>
      <c r="K264">
        <f>G264*Assumptions!$B$4</f>
        <v>900000.0000000001</v>
      </c>
    </row>
    <row r="265">
      <c r="A265" t="str">
        <v>Data Analyst</v>
      </c>
      <c r="B265" t="str">
        <v>Person</v>
      </c>
      <c r="C265">
        <v>1</v>
      </c>
      <c r="D265">
        <f>Assumptions!$B$18/Assumptions!$B$4</f>
        <v>1235.2249867654843</v>
      </c>
      <c r="E265">
        <f>C265*D265</f>
        <v>1235.2249867654843</v>
      </c>
      <c r="F265">
        <f>E265*12</f>
        <v>14822.699841185811</v>
      </c>
      <c r="G265">
        <f>E265*6</f>
        <v>7411.349920592906</v>
      </c>
      <c r="H265" t="str">
        <v/>
      </c>
      <c r="I265">
        <f>E265*Assumptions!$B$4</f>
        <v>116667</v>
      </c>
      <c r="J265">
        <f>F265*Assumptions!$B$4</f>
        <v>1400004</v>
      </c>
      <c r="K265">
        <f>G265*Assumptions!$B$4</f>
        <v>700002</v>
      </c>
    </row>
    <row r="266">
      <c r="A266" t="str">
        <v>Office Space (Bangalore)</v>
      </c>
      <c r="B266" t="str">
        <v>Month</v>
      </c>
      <c r="C266">
        <v>1</v>
      </c>
      <c r="D266">
        <v>2500</v>
      </c>
      <c r="E266">
        <f>C266*D266</f>
        <v>2500</v>
      </c>
      <c r="F266">
        <f>E266*12</f>
        <v>30000</v>
      </c>
      <c r="G266">
        <f>E266*6</f>
        <v>15000</v>
      </c>
      <c r="H266" t="str">
        <v/>
      </c>
      <c r="I266">
        <f>E266*Assumptions!$B$4</f>
        <v>236125</v>
      </c>
      <c r="J266">
        <f>F266*Assumptions!$B$4</f>
        <v>2833500</v>
      </c>
      <c r="K266">
        <f>G266*Assumptions!$B$4</f>
        <v>1416750</v>
      </c>
    </row>
    <row r="267">
      <c r="A267" t="str">
        <v>Utilities &amp; Internet</v>
      </c>
      <c r="B267" t="str">
        <v>Month</v>
      </c>
      <c r="C267">
        <v>1</v>
      </c>
      <c r="D267">
        <v>500</v>
      </c>
      <c r="E267">
        <f>C267*D267</f>
        <v>500</v>
      </c>
      <c r="F267">
        <f>E267*12</f>
        <v>6000</v>
      </c>
      <c r="G267">
        <f>E267*6</f>
        <v>3000</v>
      </c>
      <c r="H267" t="str">
        <v/>
      </c>
      <c r="I267">
        <f>E267*Assumptions!$B$4</f>
        <v>47225</v>
      </c>
      <c r="J267">
        <f>F267*Assumptions!$B$4</f>
        <v>566700</v>
      </c>
      <c r="K267">
        <f>G267*Assumptions!$B$4</f>
        <v>283350</v>
      </c>
    </row>
    <row r="268">
      <c r="A268" t="str">
        <v>Team Subtotal</v>
      </c>
      <c r="B268" t="str">
        <v/>
      </c>
      <c r="C268" t="str">
        <v/>
      </c>
      <c r="D268" t="str">
        <v/>
      </c>
      <c r="E268">
        <f>SUM(E256:E267)</f>
        <v>70407.70778189518</v>
      </c>
      <c r="F268">
        <f>E268*12</f>
        <v>844892.4933827422</v>
      </c>
      <c r="G268">
        <f>E268*6</f>
        <v>422446.2466913711</v>
      </c>
      <c r="H268" t="str">
        <v/>
      </c>
      <c r="I268">
        <f>E268*Assumptions!$B$4</f>
        <v>6650008</v>
      </c>
      <c r="J268">
        <f>F268*Assumptions!$B$4</f>
        <v>79800096</v>
      </c>
      <c r="K268">
        <f>G268*Assumptions!$B$4</f>
        <v>39900048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</row>
    <row r="270">
      <c r="A270" t="str">
        <v>Customer Acquisition (CAC-based)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</row>
    <row r="271">
      <c r="A271" t="str">
        <v>New user acquisition (paid + organic, blended)</v>
      </c>
      <c r="B271" t="str">
        <v>New users/mo</v>
      </c>
      <c r="C271">
        <v>8333</v>
      </c>
      <c r="D271">
        <f>Assumptions!$B$26</f>
        <v>4</v>
      </c>
      <c r="E271">
        <f>C271*D271</f>
        <v>33332</v>
      </c>
      <c r="F271">
        <f>E271*12</f>
        <v>399984</v>
      </c>
      <c r="G271">
        <f>E271*6</f>
        <v>199992</v>
      </c>
      <c r="H271" t="str">
        <v>50,000 net-new users over Months 31-36 (50,000→100,000) ÷ 6mo = 8,333/mo net-new × Year 3 blended CAC ($4). Added 2026-09-08 -- previously the CAC stated in the Pitch Deck's unit-economics table was never charged against this cost model.</v>
      </c>
      <c r="I271">
        <f>E271*Assumptions!$B$4</f>
        <v>3148207.4</v>
      </c>
      <c r="J271">
        <f>F271*Assumptions!$B$4</f>
        <v>37778488.800000004</v>
      </c>
      <c r="K271">
        <f>G271*Assumptions!$B$4</f>
        <v>18889244.400000002</v>
      </c>
    </row>
    <row r="272">
      <c r="A272" t="str">
        <v>Customer Acquisition Subtotal</v>
      </c>
      <c r="B272" t="str">
        <v/>
      </c>
      <c r="C272" t="str">
        <v/>
      </c>
      <c r="D272" t="str">
        <v/>
      </c>
      <c r="E272">
        <f>SUM(E271:E271)</f>
        <v>33332</v>
      </c>
      <c r="F272">
        <f>E272*12</f>
        <v>399984</v>
      </c>
      <c r="G272">
        <f>E272*6</f>
        <v>199992</v>
      </c>
      <c r="H272" t="str">
        <v/>
      </c>
      <c r="I272">
        <f>E272*Assumptions!$B$4</f>
        <v>3148207.4</v>
      </c>
      <c r="J272">
        <f>F272*Assumptions!$B$4</f>
        <v>37778488.800000004</v>
      </c>
      <c r="K272">
        <f>G272*Assumptions!$B$4</f>
        <v>18889244.400000002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</row>
    <row r="274">
      <c r="A274" t="str">
        <v>Operating Costs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</row>
    <row r="275">
      <c r="A275" t="str">
        <v>SaaS Tools (Jira, Slack, etc.)</v>
      </c>
      <c r="B275" t="str">
        <v>Month</v>
      </c>
      <c r="C275">
        <v>1</v>
      </c>
      <c r="D275">
        <v>300</v>
      </c>
      <c r="E275">
        <f>C275*D275</f>
        <v>300</v>
      </c>
      <c r="F275">
        <f>E275*12</f>
        <v>3600</v>
      </c>
      <c r="G275">
        <f>E275*6</f>
        <v>1800</v>
      </c>
      <c r="H275" t="str">
        <v/>
      </c>
      <c r="I275">
        <f>E275*Assumptions!$B$4</f>
        <v>28335</v>
      </c>
      <c r="J275">
        <f>F275*Assumptions!$B$4</f>
        <v>340020</v>
      </c>
      <c r="K275">
        <f>G275*Assumptions!$B$4</f>
        <v>170010</v>
      </c>
    </row>
    <row r="276">
      <c r="A276" t="str">
        <v>DevOps Tools (CI/CD, monitoring)</v>
      </c>
      <c r="B276" t="str">
        <v>Month</v>
      </c>
      <c r="C276">
        <v>1</v>
      </c>
      <c r="D276">
        <v>200</v>
      </c>
      <c r="E276">
        <f>C276*D276</f>
        <v>200</v>
      </c>
      <c r="F276">
        <f>E276*12</f>
        <v>2400</v>
      </c>
      <c r="G276">
        <f>E276*6</f>
        <v>1200</v>
      </c>
      <c r="H276" t="str">
        <v/>
      </c>
      <c r="I276">
        <f>E276*Assumptions!$B$4</f>
        <v>18890</v>
      </c>
      <c r="J276">
        <f>F276*Assumptions!$B$4</f>
        <v>226680</v>
      </c>
      <c r="K276">
        <f>G276*Assumptions!$B$4</f>
        <v>113340</v>
      </c>
    </row>
    <row r="277">
      <c r="A277" t="str">
        <v>Communication &amp; Collaboration</v>
      </c>
      <c r="B277" t="str">
        <v>Month</v>
      </c>
      <c r="C277">
        <v>1</v>
      </c>
      <c r="D277">
        <v>150</v>
      </c>
      <c r="E277">
        <f>C277*D277</f>
        <v>150</v>
      </c>
      <c r="F277">
        <f>E277*12</f>
        <v>1800</v>
      </c>
      <c r="G277">
        <f>E277*6</f>
        <v>900</v>
      </c>
      <c r="H277" t="str">
        <v/>
      </c>
      <c r="I277">
        <f>E277*Assumptions!$B$4</f>
        <v>14167.5</v>
      </c>
      <c r="J277">
        <f>F277*Assumptions!$B$4</f>
        <v>170010</v>
      </c>
      <c r="K277">
        <f>G277*Assumptions!$B$4</f>
        <v>85005</v>
      </c>
    </row>
    <row r="278">
      <c r="A278" t="str">
        <v>Professional Development</v>
      </c>
      <c r="B278" t="str">
        <v>Month</v>
      </c>
      <c r="C278">
        <v>1</v>
      </c>
      <c r="D278">
        <v>200</v>
      </c>
      <c r="E278">
        <f>C278*D278</f>
        <v>200</v>
      </c>
      <c r="F278">
        <f>E278*12</f>
        <v>2400</v>
      </c>
      <c r="G278">
        <f>E278*6</f>
        <v>1200</v>
      </c>
      <c r="H278" t="str">
        <v/>
      </c>
      <c r="I278">
        <f>E278*Assumptions!$B$4</f>
        <v>18890</v>
      </c>
      <c r="J278">
        <f>F278*Assumptions!$B$4</f>
        <v>226680</v>
      </c>
      <c r="K278">
        <f>G278*Assumptions!$B$4</f>
        <v>113340</v>
      </c>
    </row>
    <row r="279">
      <c r="A279" t="str">
        <v>Insurance &amp; Compliance</v>
      </c>
      <c r="B279" t="str">
        <v>Month</v>
      </c>
      <c r="C279">
        <v>1</v>
      </c>
      <c r="D279">
        <v>300</v>
      </c>
      <c r="E279">
        <f>C279*D279</f>
        <v>300</v>
      </c>
      <c r="F279">
        <f>E279*12</f>
        <v>3600</v>
      </c>
      <c r="G279">
        <f>E279*6</f>
        <v>1800</v>
      </c>
      <c r="H279" t="str">
        <v/>
      </c>
      <c r="I279">
        <f>E279*Assumptions!$B$4</f>
        <v>28335</v>
      </c>
      <c r="J279">
        <f>F279*Assumptions!$B$4</f>
        <v>340020</v>
      </c>
      <c r="K279">
        <f>G279*Assumptions!$B$4</f>
        <v>170010</v>
      </c>
    </row>
    <row r="280">
      <c r="A280" t="str">
        <v>Marketing &amp; Community</v>
      </c>
      <c r="B280" t="str">
        <v>Month</v>
      </c>
      <c r="C280">
        <v>1</v>
      </c>
      <c r="D280">
        <v>500</v>
      </c>
      <c r="E280">
        <f>C280*D280</f>
        <v>500</v>
      </c>
      <c r="F280">
        <f>E280*12</f>
        <v>6000</v>
      </c>
      <c r="G280">
        <f>E280*6</f>
        <v>3000</v>
      </c>
      <c r="H280" t="str">
        <v/>
      </c>
      <c r="I280">
        <f>E280*Assumptions!$B$4</f>
        <v>47225</v>
      </c>
      <c r="J280">
        <f>F280*Assumptions!$B$4</f>
        <v>566700</v>
      </c>
      <c r="K280">
        <f>G280*Assumptions!$B$4</f>
        <v>283350</v>
      </c>
    </row>
    <row r="281">
      <c r="A281" t="str">
        <v>Operating Subtotal</v>
      </c>
      <c r="B281" t="str">
        <v/>
      </c>
      <c r="C281" t="str">
        <v/>
      </c>
      <c r="D281" t="str">
        <v/>
      </c>
      <c r="E281">
        <f>SUM(E275:E280)</f>
        <v>1650</v>
      </c>
      <c r="F281">
        <f>E281*12</f>
        <v>19800</v>
      </c>
      <c r="G281">
        <f>E281*6</f>
        <v>9900</v>
      </c>
      <c r="H281" t="str">
        <v/>
      </c>
      <c r="I281">
        <f>E281*Assumptions!$B$4</f>
        <v>155842.5</v>
      </c>
      <c r="J281">
        <f>F281*Assumptions!$B$4</f>
        <v>1870110</v>
      </c>
      <c r="K281">
        <f>G281*Assumptions!$B$4</f>
        <v>935055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</row>
    <row r="283">
      <c r="A283" t="str">
        <v>TOTAL MONTHLY COST</v>
      </c>
      <c r="B283" t="str">
        <v/>
      </c>
      <c r="C283" t="str">
        <v/>
      </c>
      <c r="D283" t="str">
        <v/>
      </c>
      <c r="E283">
        <f>E253+E268+E272+E281</f>
        <v>123889.70778189518</v>
      </c>
      <c r="F283">
        <f>E283*12</f>
        <v>1486676.4933827422</v>
      </c>
      <c r="G283">
        <f>E283*6</f>
        <v>743338.2466913711</v>
      </c>
      <c r="H283" t="str">
        <v/>
      </c>
      <c r="I283">
        <f>E283*Assumptions!$B$4</f>
        <v>11701382.9</v>
      </c>
      <c r="J283">
        <f>F283*Assumptions!$B$4</f>
        <v>140416594.8</v>
      </c>
      <c r="K283">
        <f>G283*Assumptions!$B$4</f>
        <v>70208297.4</v>
      </c>
    </row>
    <row r="284">
      <c r="A284" t="str">
        <v>Cost per User (Monthly)</v>
      </c>
      <c r="B284" t="str">
        <v/>
      </c>
      <c r="C284" t="str">
        <v/>
      </c>
      <c r="D284" t="str">
        <v/>
      </c>
      <c r="E284">
        <f>E283/100000</f>
        <v>1.2388970778189519</v>
      </c>
      <c r="F284" t="str">
        <v/>
      </c>
      <c r="G284" t="str">
        <v/>
      </c>
      <c r="H284" t="str">
        <v/>
      </c>
      <c r="I284">
        <f>E284*Assumptions!$B$4</f>
        <v>117.013829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</row>
  </sheetData>
  <ignoredErrors>
    <ignoredError numberStoredAsText="1" sqref="A1:K2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6"/>
  <sheetViews>
    <sheetView workbookViewId="0"/>
  </sheetViews>
  <sheetData>
    <row r="1">
      <c r="A1" t="str">
        <v>Greyin — 3-Year Budget Projection (Remote)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Generated: 2026-09-08 — every cost below is driven by the Assumptions sheet; edit the exchange rate, a salary cell, or a CAC-by-year cell there and this whole sheet recalculates.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Month 1 — 100 Users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Category</v>
      </c>
      <c r="B5" t="str">
        <v>Unit</v>
      </c>
      <c r="C5" t="str">
        <v>Quantity</v>
      </c>
      <c r="D5" t="str">
        <v>Unit Cost (USD)</v>
      </c>
      <c r="E5" t="str">
        <v>Monthly Cost (USD)</v>
      </c>
      <c r="F5" t="str">
        <v>Annual Cost (USD)</v>
      </c>
      <c r="G5" t="str">
        <v>6-Month Cost (USD)</v>
      </c>
      <c r="H5" t="str">
        <v>Notes</v>
      </c>
      <c r="I5" t="str">
        <v>Monthly Cost (INR)</v>
      </c>
      <c r="J5" t="str">
        <v>Annual Cost (INR)</v>
      </c>
      <c r="K5" t="str">
        <v>6-Month Cost (INR)</v>
      </c>
    </row>
    <row r="6">
      <c r="A6" t="str">
        <v>AWS Infrastructure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compute</v>
      </c>
      <c r="B7" t="str">
        <v>Month</v>
      </c>
      <c r="C7">
        <v>1</v>
      </c>
      <c r="D7">
        <v>100</v>
      </c>
      <c r="E7">
        <f>C7*D7</f>
        <v>100</v>
      </c>
      <c r="F7">
        <f>E7*12</f>
        <v>1200</v>
      </c>
      <c r="G7">
        <f>E7*6</f>
        <v>600</v>
      </c>
      <c r="H7" t="str">
        <v/>
      </c>
      <c r="I7">
        <f>E7*Assumptions!$B$4</f>
        <v>9445</v>
      </c>
      <c r="J7">
        <f>F7*Assumptions!$B$4</f>
        <v>113340</v>
      </c>
      <c r="K7">
        <f>G7*Assumptions!$B$4</f>
        <v>56670</v>
      </c>
    </row>
    <row r="8">
      <c r="A8" t="str">
        <v>database</v>
      </c>
      <c r="B8" t="str">
        <v>Month</v>
      </c>
      <c r="C8">
        <v>1</v>
      </c>
      <c r="D8">
        <v>50</v>
      </c>
      <c r="E8">
        <f>C8*D8</f>
        <v>50</v>
      </c>
      <c r="F8">
        <f>E8*12</f>
        <v>600</v>
      </c>
      <c r="G8">
        <f>E8*6</f>
        <v>300</v>
      </c>
      <c r="H8" t="str">
        <v/>
      </c>
      <c r="I8">
        <f>E8*Assumptions!$B$4</f>
        <v>4722.5</v>
      </c>
      <c r="J8">
        <f>F8*Assumptions!$B$4</f>
        <v>56670</v>
      </c>
      <c r="K8">
        <f>G8*Assumptions!$B$4</f>
        <v>28335</v>
      </c>
    </row>
    <row r="9">
      <c r="A9" t="str">
        <v>storage</v>
      </c>
      <c r="B9" t="str">
        <v>Month</v>
      </c>
      <c r="C9">
        <v>1</v>
      </c>
      <c r="D9">
        <v>25</v>
      </c>
      <c r="E9">
        <f>C9*D9</f>
        <v>25</v>
      </c>
      <c r="F9">
        <f>E9*12</f>
        <v>300</v>
      </c>
      <c r="G9">
        <f>E9*6</f>
        <v>150</v>
      </c>
      <c r="H9" t="str">
        <v/>
      </c>
      <c r="I9">
        <f>E9*Assumptions!$B$4</f>
        <v>2361.25</v>
      </c>
      <c r="J9">
        <f>F9*Assumptions!$B$4</f>
        <v>28335</v>
      </c>
      <c r="K9">
        <f>G9*Assumptions!$B$4</f>
        <v>14167.5</v>
      </c>
    </row>
    <row r="10">
      <c r="A10" t="str">
        <v>networking</v>
      </c>
      <c r="B10" t="str">
        <v>Month</v>
      </c>
      <c r="C10">
        <v>1</v>
      </c>
      <c r="D10">
        <v>15</v>
      </c>
      <c r="E10">
        <f>C10*D10</f>
        <v>15</v>
      </c>
      <c r="F10">
        <f>E10*12</f>
        <v>180</v>
      </c>
      <c r="G10">
        <f>E10*6</f>
        <v>90</v>
      </c>
      <c r="H10" t="str">
        <v/>
      </c>
      <c r="I10">
        <f>E10*Assumptions!$B$4</f>
        <v>1416.75</v>
      </c>
      <c r="J10">
        <f>F10*Assumptions!$B$4</f>
        <v>17001</v>
      </c>
      <c r="K10">
        <f>G10*Assumptions!$B$4</f>
        <v>8500.5</v>
      </c>
    </row>
    <row r="11">
      <c r="A11" t="str">
        <v>data_transfer</v>
      </c>
      <c r="B11" t="str">
        <v>Month</v>
      </c>
      <c r="C11">
        <v>1</v>
      </c>
      <c r="D11">
        <v>20</v>
      </c>
      <c r="E11">
        <f>C11*D11</f>
        <v>20</v>
      </c>
      <c r="F11">
        <f>E11*12</f>
        <v>240</v>
      </c>
      <c r="G11">
        <f>E11*6</f>
        <v>120</v>
      </c>
      <c r="H11" t="str">
        <v/>
      </c>
      <c r="I11">
        <f>E11*Assumptions!$B$4</f>
        <v>1889</v>
      </c>
      <c r="J11">
        <f>F11*Assumptions!$B$4</f>
        <v>22668</v>
      </c>
      <c r="K11">
        <f>G11*Assumptions!$B$4</f>
        <v>11334</v>
      </c>
    </row>
    <row r="12">
      <c r="A12" t="str">
        <v>monitoring</v>
      </c>
      <c r="B12" t="str">
        <v>Month</v>
      </c>
      <c r="C12">
        <v>1</v>
      </c>
      <c r="D12">
        <v>10</v>
      </c>
      <c r="E12">
        <f>C12*D12</f>
        <v>10</v>
      </c>
      <c r="F12">
        <f>E12*12</f>
        <v>120</v>
      </c>
      <c r="G12">
        <f>E12*6</f>
        <v>60</v>
      </c>
      <c r="H12" t="str">
        <v/>
      </c>
      <c r="I12">
        <f>E12*Assumptions!$B$4</f>
        <v>944.5</v>
      </c>
      <c r="J12">
        <f>F12*Assumptions!$B$4</f>
        <v>11334</v>
      </c>
      <c r="K12">
        <f>G12*Assumptions!$B$4</f>
        <v>5667</v>
      </c>
    </row>
    <row r="13">
      <c r="A13" t="str">
        <v>backups</v>
      </c>
      <c r="B13" t="str">
        <v>Month</v>
      </c>
      <c r="C13">
        <v>1</v>
      </c>
      <c r="D13">
        <v>10</v>
      </c>
      <c r="E13">
        <f>C13*D13</f>
        <v>10</v>
      </c>
      <c r="F13">
        <f>E13*12</f>
        <v>120</v>
      </c>
      <c r="G13">
        <f>E13*6</f>
        <v>60</v>
      </c>
      <c r="H13" t="str">
        <v/>
      </c>
      <c r="I13">
        <f>E13*Assumptions!$B$4</f>
        <v>944.5</v>
      </c>
      <c r="J13">
        <f>F13*Assumptions!$B$4</f>
        <v>11334</v>
      </c>
      <c r="K13">
        <f>G13*Assumptions!$B$4</f>
        <v>5667</v>
      </c>
    </row>
    <row r="14">
      <c r="A14" t="str">
        <v>AWS Subtotal</v>
      </c>
      <c r="B14" t="str">
        <v/>
      </c>
      <c r="C14" t="str">
        <v/>
      </c>
      <c r="D14" t="str">
        <v/>
      </c>
      <c r="E14">
        <f>SUM(E7:E13)</f>
        <v>230</v>
      </c>
      <c r="F14">
        <f>E14*12</f>
        <v>2760</v>
      </c>
      <c r="G14">
        <f>E14*6</f>
        <v>1380</v>
      </c>
      <c r="H14" t="str">
        <v/>
      </c>
      <c r="I14">
        <f>E14*Assumptions!$B$4</f>
        <v>21723.5</v>
      </c>
      <c r="J14">
        <f>F14*Assumptions!$B$4</f>
        <v>260682</v>
      </c>
      <c r="K14">
        <f>G14*Assumptions!$B$4</f>
        <v>130341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Engineering Team (India-based)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Senior Dev</v>
      </c>
      <c r="B17" t="str">
        <v>Person</v>
      </c>
      <c r="C17">
        <v>1</v>
      </c>
      <c r="D17">
        <f>Assumptions!$B$11/Assumptions!$B$4</f>
        <v>3529.2006352567496</v>
      </c>
      <c r="E17">
        <f>C17*D17</f>
        <v>3529.2006352567496</v>
      </c>
      <c r="F17">
        <f>E17*12</f>
        <v>42350.407623080995</v>
      </c>
      <c r="G17">
        <f>E17*6</f>
        <v>21175.203811540498</v>
      </c>
      <c r="H17" t="str">
        <v/>
      </c>
      <c r="I17">
        <f>E17*Assumptions!$B$4</f>
        <v>333333</v>
      </c>
      <c r="J17">
        <f>F17*Assumptions!$B$4</f>
        <v>3999996</v>
      </c>
      <c r="K17">
        <f>G17*Assumptions!$B$4</f>
        <v>1999998</v>
      </c>
    </row>
    <row r="18">
      <c r="A18" t="str">
        <v>Junior Dev</v>
      </c>
      <c r="B18" t="str">
        <v>Person</v>
      </c>
      <c r="C18">
        <v>1</v>
      </c>
      <c r="D18">
        <f>Assumptions!$B$9/Assumptions!$B$4</f>
        <v>882.297511911064</v>
      </c>
      <c r="E18">
        <f>C18*D18</f>
        <v>882.297511911064</v>
      </c>
      <c r="F18">
        <f>E18*12</f>
        <v>10587.570142932767</v>
      </c>
      <c r="G18">
        <f>E18*6</f>
        <v>5293.785071466384</v>
      </c>
      <c r="H18" t="str">
        <v/>
      </c>
      <c r="I18">
        <f>E18*Assumptions!$B$4</f>
        <v>83333</v>
      </c>
      <c r="J18">
        <f>F18*Assumptions!$B$4</f>
        <v>999995.9999999999</v>
      </c>
      <c r="K18">
        <f>G18*Assumptions!$B$4</f>
        <v>499997.99999999994</v>
      </c>
    </row>
    <row r="19">
      <c r="A19" t="str">
        <v>Home Setup Stipend (per person)</v>
      </c>
      <c r="B19" t="str">
        <v>One-time</v>
      </c>
      <c r="C19">
        <v>2</v>
      </c>
      <c r="D19">
        <v>200</v>
      </c>
      <c r="E19">
        <f>C19*D19</f>
        <v>400</v>
      </c>
      <c r="F19">
        <f>E19*12</f>
        <v>4800</v>
      </c>
      <c r="G19">
        <f>E19*6</f>
        <v>2400</v>
      </c>
      <c r="H19" t="str">
        <v/>
      </c>
      <c r="I19">
        <f>E19*Assumptions!$B$4</f>
        <v>37780</v>
      </c>
      <c r="J19">
        <f>F19*Assumptions!$B$4</f>
        <v>453360</v>
      </c>
      <c r="K19">
        <f>G19*Assumptions!$B$4</f>
        <v>226680</v>
      </c>
    </row>
    <row r="20">
      <c r="A20" t="str">
        <v>Internet Stipend</v>
      </c>
      <c r="B20" t="str">
        <v>Month</v>
      </c>
      <c r="C20">
        <v>1</v>
      </c>
      <c r="D20">
        <v>200</v>
      </c>
      <c r="E20">
        <f>C20*D20</f>
        <v>200</v>
      </c>
      <c r="F20">
        <f>E20*12</f>
        <v>2400</v>
      </c>
      <c r="G20">
        <f>E20*6</f>
        <v>1200</v>
      </c>
      <c r="H20" t="str">
        <v/>
      </c>
      <c r="I20">
        <f>E20*Assumptions!$B$4</f>
        <v>18890</v>
      </c>
      <c r="J20">
        <f>F20*Assumptions!$B$4</f>
        <v>226680</v>
      </c>
      <c r="K20">
        <f>G20*Assumptions!$B$4</f>
        <v>113340</v>
      </c>
    </row>
    <row r="21">
      <c r="A21" t="str">
        <v>Team Subtotal</v>
      </c>
      <c r="B21" t="str">
        <v/>
      </c>
      <c r="C21" t="str">
        <v/>
      </c>
      <c r="D21" t="str">
        <v/>
      </c>
      <c r="E21">
        <f>SUM(E17:E20)</f>
        <v>5011.498147167814</v>
      </c>
      <c r="F21">
        <f>E21*12</f>
        <v>60137.97776601376</v>
      </c>
      <c r="G21">
        <f>E21*6</f>
        <v>30068.98888300688</v>
      </c>
      <c r="H21" t="str">
        <v/>
      </c>
      <c r="I21">
        <f>E21*Assumptions!$B$4</f>
        <v>473336.00000000006</v>
      </c>
      <c r="J21">
        <f>F21*Assumptions!$B$4</f>
        <v>5680032</v>
      </c>
      <c r="K21">
        <f>G21*Assumptions!$B$4</f>
        <v>2840016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Customer Acquisition (CAC-based)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New user acquisition (paid + organic, blended)</v>
      </c>
      <c r="B24" t="str">
        <v>New users/mo</v>
      </c>
      <c r="C24">
        <v>100</v>
      </c>
      <c r="D24">
        <f>Assumptions!$B$24</f>
        <v>8</v>
      </c>
      <c r="E24">
        <f>C24*D24</f>
        <v>800</v>
      </c>
      <c r="F24">
        <f>E24*12</f>
        <v>9600</v>
      </c>
      <c r="G24">
        <f>E24*6</f>
        <v>4800</v>
      </c>
      <c r="H24" t="str">
        <v>Launch: ~100 users acquired in Month 1 = 100/mo net-new × Year 1 blended CAC ($8). Added 2026-09-08 -- previously the CAC stated in the Pitch Deck's unit-economics table was never charged against this cost model.</v>
      </c>
      <c r="I24">
        <f>E24*Assumptions!$B$4</f>
        <v>75560</v>
      </c>
      <c r="J24">
        <f>F24*Assumptions!$B$4</f>
        <v>906720</v>
      </c>
      <c r="K24">
        <f>G24*Assumptions!$B$4</f>
        <v>453360</v>
      </c>
    </row>
    <row r="25">
      <c r="A25" t="str">
        <v>Customer Acquisition Subtotal</v>
      </c>
      <c r="B25" t="str">
        <v/>
      </c>
      <c r="C25" t="str">
        <v/>
      </c>
      <c r="D25" t="str">
        <v/>
      </c>
      <c r="E25">
        <f>SUM(E24:E24)</f>
        <v>800</v>
      </c>
      <c r="F25">
        <f>E25*12</f>
        <v>9600</v>
      </c>
      <c r="G25">
        <f>E25*6</f>
        <v>4800</v>
      </c>
      <c r="H25" t="str">
        <v/>
      </c>
      <c r="I25">
        <f>E25*Assumptions!$B$4</f>
        <v>75560</v>
      </c>
      <c r="J25">
        <f>F25*Assumptions!$B$4</f>
        <v>906720</v>
      </c>
      <c r="K25">
        <f>G25*Assumptions!$B$4</f>
        <v>453360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Operating Costs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SaaS Tools (Jira, Slack, etc.)</v>
      </c>
      <c r="B28" t="str">
        <v>Month</v>
      </c>
      <c r="C28">
        <v>1</v>
      </c>
      <c r="D28">
        <v>300</v>
      </c>
      <c r="E28">
        <f>C28*D28</f>
        <v>300</v>
      </c>
      <c r="F28">
        <f>E28*12</f>
        <v>3600</v>
      </c>
      <c r="G28">
        <f>E28*6</f>
        <v>1800</v>
      </c>
      <c r="H28" t="str">
        <v/>
      </c>
      <c r="I28">
        <f>E28*Assumptions!$B$4</f>
        <v>28335</v>
      </c>
      <c r="J28">
        <f>F28*Assumptions!$B$4</f>
        <v>340020</v>
      </c>
      <c r="K28">
        <f>G28*Assumptions!$B$4</f>
        <v>170010</v>
      </c>
    </row>
    <row r="29">
      <c r="A29" t="str">
        <v>DevOps Tools (CI/CD, monitoring)</v>
      </c>
      <c r="B29" t="str">
        <v>Month</v>
      </c>
      <c r="C29">
        <v>1</v>
      </c>
      <c r="D29">
        <v>200</v>
      </c>
      <c r="E29">
        <f>C29*D29</f>
        <v>200</v>
      </c>
      <c r="F29">
        <f>E29*12</f>
        <v>2400</v>
      </c>
      <c r="G29">
        <f>E29*6</f>
        <v>1200</v>
      </c>
      <c r="H29" t="str">
        <v/>
      </c>
      <c r="I29">
        <f>E29*Assumptions!$B$4</f>
        <v>18890</v>
      </c>
      <c r="J29">
        <f>F29*Assumptions!$B$4</f>
        <v>226680</v>
      </c>
      <c r="K29">
        <f>G29*Assumptions!$B$4</f>
        <v>113340</v>
      </c>
    </row>
    <row r="30">
      <c r="A30" t="str">
        <v>Communication &amp; Collaboration</v>
      </c>
      <c r="B30" t="str">
        <v>Month</v>
      </c>
      <c r="C30">
        <v>1</v>
      </c>
      <c r="D30">
        <v>150</v>
      </c>
      <c r="E30">
        <f>C30*D30</f>
        <v>150</v>
      </c>
      <c r="F30">
        <f>E30*12</f>
        <v>1800</v>
      </c>
      <c r="G30">
        <f>E30*6</f>
        <v>900</v>
      </c>
      <c r="H30" t="str">
        <v/>
      </c>
      <c r="I30">
        <f>E30*Assumptions!$B$4</f>
        <v>14167.5</v>
      </c>
      <c r="J30">
        <f>F30*Assumptions!$B$4</f>
        <v>170010</v>
      </c>
      <c r="K30">
        <f>G30*Assumptions!$B$4</f>
        <v>85005</v>
      </c>
    </row>
    <row r="31">
      <c r="A31" t="str">
        <v>Professional Development</v>
      </c>
      <c r="B31" t="str">
        <v>Month</v>
      </c>
      <c r="C31">
        <v>1</v>
      </c>
      <c r="D31">
        <v>200</v>
      </c>
      <c r="E31">
        <f>C31*D31</f>
        <v>200</v>
      </c>
      <c r="F31">
        <f>E31*12</f>
        <v>2400</v>
      </c>
      <c r="G31">
        <f>E31*6</f>
        <v>1200</v>
      </c>
      <c r="H31" t="str">
        <v/>
      </c>
      <c r="I31">
        <f>E31*Assumptions!$B$4</f>
        <v>18890</v>
      </c>
      <c r="J31">
        <f>F31*Assumptions!$B$4</f>
        <v>226680</v>
      </c>
      <c r="K31">
        <f>G31*Assumptions!$B$4</f>
        <v>113340</v>
      </c>
    </row>
    <row r="32">
      <c r="A32" t="str">
        <v>Insurance &amp; Compliance</v>
      </c>
      <c r="B32" t="str">
        <v>Month</v>
      </c>
      <c r="C32">
        <v>1</v>
      </c>
      <c r="D32">
        <v>300</v>
      </c>
      <c r="E32">
        <f>C32*D32</f>
        <v>300</v>
      </c>
      <c r="F32">
        <f>E32*12</f>
        <v>3600</v>
      </c>
      <c r="G32">
        <f>E32*6</f>
        <v>1800</v>
      </c>
      <c r="H32" t="str">
        <v/>
      </c>
      <c r="I32">
        <f>E32*Assumptions!$B$4</f>
        <v>28335</v>
      </c>
      <c r="J32">
        <f>F32*Assumptions!$B$4</f>
        <v>340020</v>
      </c>
      <c r="K32">
        <f>G32*Assumptions!$B$4</f>
        <v>170010</v>
      </c>
    </row>
    <row r="33">
      <c r="A33" t="str">
        <v>Marketing &amp; Community</v>
      </c>
      <c r="B33" t="str">
        <v>Month</v>
      </c>
      <c r="C33">
        <v>1</v>
      </c>
      <c r="D33">
        <v>500</v>
      </c>
      <c r="E33">
        <f>C33*D33</f>
        <v>500</v>
      </c>
      <c r="F33">
        <f>E33*12</f>
        <v>6000</v>
      </c>
      <c r="G33">
        <f>E33*6</f>
        <v>3000</v>
      </c>
      <c r="H33" t="str">
        <v/>
      </c>
      <c r="I33">
        <f>E33*Assumptions!$B$4</f>
        <v>47225</v>
      </c>
      <c r="J33">
        <f>F33*Assumptions!$B$4</f>
        <v>566700</v>
      </c>
      <c r="K33">
        <f>G33*Assumptions!$B$4</f>
        <v>283350</v>
      </c>
    </row>
    <row r="34">
      <c r="A34" t="str">
        <v>Operating Subtotal</v>
      </c>
      <c r="B34" t="str">
        <v/>
      </c>
      <c r="C34" t="str">
        <v/>
      </c>
      <c r="D34" t="str">
        <v/>
      </c>
      <c r="E34">
        <f>SUM(E28:E33)</f>
        <v>1650</v>
      </c>
      <c r="F34">
        <f>E34*12</f>
        <v>19800</v>
      </c>
      <c r="G34">
        <f>E34*6</f>
        <v>9900</v>
      </c>
      <c r="H34" t="str">
        <v/>
      </c>
      <c r="I34">
        <f>E34*Assumptions!$B$4</f>
        <v>155842.5</v>
      </c>
      <c r="J34">
        <f>F34*Assumptions!$B$4</f>
        <v>1870110</v>
      </c>
      <c r="K34">
        <f>G34*Assumptions!$B$4</f>
        <v>935055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TOTAL MONTHLY COST</v>
      </c>
      <c r="B36" t="str">
        <v/>
      </c>
      <c r="C36" t="str">
        <v/>
      </c>
      <c r="D36" t="str">
        <v/>
      </c>
      <c r="E36">
        <f>E14+E21+E25+E34</f>
        <v>7691.498147167814</v>
      </c>
      <c r="F36">
        <f>E36*12</f>
        <v>92297.97776601376</v>
      </c>
      <c r="G36">
        <f>E36*6</f>
        <v>46148.98888300688</v>
      </c>
      <c r="H36" t="str">
        <v/>
      </c>
      <c r="I36">
        <f>E36*Assumptions!$B$4</f>
        <v>726462</v>
      </c>
      <c r="J36">
        <f>F36*Assumptions!$B$4</f>
        <v>8717544</v>
      </c>
      <c r="K36">
        <f>G36*Assumptions!$B$4</f>
        <v>4358772</v>
      </c>
    </row>
    <row r="37">
      <c r="A37" t="str">
        <v>Cost per User (Monthly)</v>
      </c>
      <c r="B37" t="str">
        <v/>
      </c>
      <c r="C37" t="str">
        <v/>
      </c>
      <c r="D37" t="str">
        <v/>
      </c>
      <c r="E37">
        <f>E36/100</f>
        <v>76.91498147167813</v>
      </c>
      <c r="F37" t="str">
        <v/>
      </c>
      <c r="G37" t="str">
        <v/>
      </c>
      <c r="H37" t="str">
        <v/>
      </c>
      <c r="I37">
        <f>E37*Assumptions!$B$4</f>
        <v>7264.62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Month 6 — 1,000 Users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Category</v>
      </c>
      <c r="B41" t="str">
        <v>Unit</v>
      </c>
      <c r="C41" t="str">
        <v>Quantity</v>
      </c>
      <c r="D41" t="str">
        <v>Unit Cost (USD)</v>
      </c>
      <c r="E41" t="str">
        <v>Monthly Cost (USD)</v>
      </c>
      <c r="F41" t="str">
        <v>Annual Cost (USD)</v>
      </c>
      <c r="G41" t="str">
        <v>6-Month Cost (USD)</v>
      </c>
      <c r="H41" t="str">
        <v>Notes</v>
      </c>
      <c r="I41" t="str">
        <v>Monthly Cost (INR)</v>
      </c>
      <c r="J41" t="str">
        <v>Annual Cost (INR)</v>
      </c>
      <c r="K41" t="str">
        <v>6-Month Cost (INR)</v>
      </c>
    </row>
    <row r="42">
      <c r="A42" t="str">
        <v>AWS Infrastructure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compute</v>
      </c>
      <c r="B43" t="str">
        <v>Month</v>
      </c>
      <c r="C43">
        <v>1</v>
      </c>
      <c r="D43">
        <v>250</v>
      </c>
      <c r="E43">
        <f>C43*D43</f>
        <v>250</v>
      </c>
      <c r="F43">
        <f>E43*12</f>
        <v>3000</v>
      </c>
      <c r="G43">
        <f>E43*6</f>
        <v>1500</v>
      </c>
      <c r="H43" t="str">
        <v/>
      </c>
      <c r="I43">
        <f>E43*Assumptions!$B$4</f>
        <v>23612.5</v>
      </c>
      <c r="J43">
        <f>F43*Assumptions!$B$4</f>
        <v>283350</v>
      </c>
      <c r="K43">
        <f>G43*Assumptions!$B$4</f>
        <v>141675</v>
      </c>
    </row>
    <row r="44">
      <c r="A44" t="str">
        <v>database</v>
      </c>
      <c r="B44" t="str">
        <v>Month</v>
      </c>
      <c r="C44">
        <v>1</v>
      </c>
      <c r="D44">
        <v>150</v>
      </c>
      <c r="E44">
        <f>C44*D44</f>
        <v>150</v>
      </c>
      <c r="F44">
        <f>E44*12</f>
        <v>1800</v>
      </c>
      <c r="G44">
        <f>E44*6</f>
        <v>900</v>
      </c>
      <c r="H44" t="str">
        <v/>
      </c>
      <c r="I44">
        <f>E44*Assumptions!$B$4</f>
        <v>14167.5</v>
      </c>
      <c r="J44">
        <f>F44*Assumptions!$B$4</f>
        <v>170010</v>
      </c>
      <c r="K44">
        <f>G44*Assumptions!$B$4</f>
        <v>85005</v>
      </c>
    </row>
    <row r="45">
      <c r="A45" t="str">
        <v>storage</v>
      </c>
      <c r="B45" t="str">
        <v>Month</v>
      </c>
      <c r="C45">
        <v>1</v>
      </c>
      <c r="D45">
        <v>60</v>
      </c>
      <c r="E45">
        <f>C45*D45</f>
        <v>60</v>
      </c>
      <c r="F45">
        <f>E45*12</f>
        <v>720</v>
      </c>
      <c r="G45">
        <f>E45*6</f>
        <v>360</v>
      </c>
      <c r="H45" t="str">
        <v/>
      </c>
      <c r="I45">
        <f>E45*Assumptions!$B$4</f>
        <v>5667</v>
      </c>
      <c r="J45">
        <f>F45*Assumptions!$B$4</f>
        <v>68004</v>
      </c>
      <c r="K45">
        <f>G45*Assumptions!$B$4</f>
        <v>34002</v>
      </c>
    </row>
    <row r="46">
      <c r="A46" t="str">
        <v>networking</v>
      </c>
      <c r="B46" t="str">
        <v>Month</v>
      </c>
      <c r="C46">
        <v>1</v>
      </c>
      <c r="D46">
        <v>40</v>
      </c>
      <c r="E46">
        <f>C46*D46</f>
        <v>40</v>
      </c>
      <c r="F46">
        <f>E46*12</f>
        <v>480</v>
      </c>
      <c r="G46">
        <f>E46*6</f>
        <v>240</v>
      </c>
      <c r="H46" t="str">
        <v/>
      </c>
      <c r="I46">
        <f>E46*Assumptions!$B$4</f>
        <v>3778</v>
      </c>
      <c r="J46">
        <f>F46*Assumptions!$B$4</f>
        <v>45336</v>
      </c>
      <c r="K46">
        <f>G46*Assumptions!$B$4</f>
        <v>22668</v>
      </c>
    </row>
    <row r="47">
      <c r="A47" t="str">
        <v>data_transfer</v>
      </c>
      <c r="B47" t="str">
        <v>Month</v>
      </c>
      <c r="C47">
        <v>1</v>
      </c>
      <c r="D47">
        <v>50</v>
      </c>
      <c r="E47">
        <f>C47*D47</f>
        <v>50</v>
      </c>
      <c r="F47">
        <f>E47*12</f>
        <v>600</v>
      </c>
      <c r="G47">
        <f>E47*6</f>
        <v>300</v>
      </c>
      <c r="H47" t="str">
        <v/>
      </c>
      <c r="I47">
        <f>E47*Assumptions!$B$4</f>
        <v>4722.5</v>
      </c>
      <c r="J47">
        <f>F47*Assumptions!$B$4</f>
        <v>56670</v>
      </c>
      <c r="K47">
        <f>G47*Assumptions!$B$4</f>
        <v>28335</v>
      </c>
    </row>
    <row r="48">
      <c r="A48" t="str">
        <v>monitoring</v>
      </c>
      <c r="B48" t="str">
        <v>Month</v>
      </c>
      <c r="C48">
        <v>1</v>
      </c>
      <c r="D48">
        <v>20</v>
      </c>
      <c r="E48">
        <f>C48*D48</f>
        <v>20</v>
      </c>
      <c r="F48">
        <f>E48*12</f>
        <v>240</v>
      </c>
      <c r="G48">
        <f>E48*6</f>
        <v>120</v>
      </c>
      <c r="H48" t="str">
        <v/>
      </c>
      <c r="I48">
        <f>E48*Assumptions!$B$4</f>
        <v>1889</v>
      </c>
      <c r="J48">
        <f>F48*Assumptions!$B$4</f>
        <v>22668</v>
      </c>
      <c r="K48">
        <f>G48*Assumptions!$B$4</f>
        <v>11334</v>
      </c>
    </row>
    <row r="49">
      <c r="A49" t="str">
        <v>backups</v>
      </c>
      <c r="B49" t="str">
        <v>Month</v>
      </c>
      <c r="C49">
        <v>1</v>
      </c>
      <c r="D49">
        <v>25</v>
      </c>
      <c r="E49">
        <f>C49*D49</f>
        <v>25</v>
      </c>
      <c r="F49">
        <f>E49*12</f>
        <v>300</v>
      </c>
      <c r="G49">
        <f>E49*6</f>
        <v>150</v>
      </c>
      <c r="H49" t="str">
        <v/>
      </c>
      <c r="I49">
        <f>E49*Assumptions!$B$4</f>
        <v>2361.25</v>
      </c>
      <c r="J49">
        <f>F49*Assumptions!$B$4</f>
        <v>28335</v>
      </c>
      <c r="K49">
        <f>G49*Assumptions!$B$4</f>
        <v>14167.5</v>
      </c>
    </row>
    <row r="50">
      <c r="A50" t="str">
        <v>AWS Subtotal</v>
      </c>
      <c r="B50" t="str">
        <v/>
      </c>
      <c r="C50" t="str">
        <v/>
      </c>
      <c r="D50" t="str">
        <v/>
      </c>
      <c r="E50">
        <f>SUM(E43:E49)</f>
        <v>595</v>
      </c>
      <c r="F50">
        <f>E50*12</f>
        <v>7140</v>
      </c>
      <c r="G50">
        <f>E50*6</f>
        <v>3570</v>
      </c>
      <c r="H50" t="str">
        <v/>
      </c>
      <c r="I50">
        <f>E50*Assumptions!$B$4</f>
        <v>56197.75</v>
      </c>
      <c r="J50">
        <f>F50*Assumptions!$B$4</f>
        <v>674373</v>
      </c>
      <c r="K50">
        <f>G50*Assumptions!$B$4</f>
        <v>337186.5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Engineering Team (India-based)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Senior Dev</v>
      </c>
      <c r="B53" t="str">
        <v>Person</v>
      </c>
      <c r="C53">
        <v>1</v>
      </c>
      <c r="D53">
        <f>Assumptions!$B$11/Assumptions!$B$4</f>
        <v>3529.2006352567496</v>
      </c>
      <c r="E53">
        <f>C53*D53</f>
        <v>3529.2006352567496</v>
      </c>
      <c r="F53">
        <f>E53*12</f>
        <v>42350.407623080995</v>
      </c>
      <c r="G53">
        <f>E53*6</f>
        <v>21175.203811540498</v>
      </c>
      <c r="H53" t="str">
        <v/>
      </c>
      <c r="I53">
        <f>E53*Assumptions!$B$4</f>
        <v>333333</v>
      </c>
      <c r="J53">
        <f>F53*Assumptions!$B$4</f>
        <v>3999996</v>
      </c>
      <c r="K53">
        <f>G53*Assumptions!$B$4</f>
        <v>1999998</v>
      </c>
    </row>
    <row r="54">
      <c r="A54" t="str">
        <v>Mid-level Dev</v>
      </c>
      <c r="B54" t="str">
        <v>Person</v>
      </c>
      <c r="C54">
        <v>1</v>
      </c>
      <c r="D54">
        <f>Assumptions!$B$10/Assumptions!$B$4</f>
        <v>1941.0587612493382</v>
      </c>
      <c r="E54">
        <f>C54*D54</f>
        <v>1941.0587612493382</v>
      </c>
      <c r="F54">
        <f>E54*12</f>
        <v>23292.70513499206</v>
      </c>
      <c r="G54">
        <f>E54*6</f>
        <v>11646.35256749603</v>
      </c>
      <c r="H54" t="str">
        <v/>
      </c>
      <c r="I54">
        <f>E54*Assumptions!$B$4</f>
        <v>183333</v>
      </c>
      <c r="J54">
        <f>F54*Assumptions!$B$4</f>
        <v>2199996</v>
      </c>
      <c r="K54">
        <f>G54*Assumptions!$B$4</f>
        <v>1099998</v>
      </c>
    </row>
    <row r="55">
      <c r="A55" t="str">
        <v>Junior Dev</v>
      </c>
      <c r="B55" t="str">
        <v>Person</v>
      </c>
      <c r="C55">
        <v>1</v>
      </c>
      <c r="D55">
        <f>Assumptions!$B$9/Assumptions!$B$4</f>
        <v>882.297511911064</v>
      </c>
      <c r="E55">
        <f>C55*D55</f>
        <v>882.297511911064</v>
      </c>
      <c r="F55">
        <f>E55*12</f>
        <v>10587.570142932767</v>
      </c>
      <c r="G55">
        <f>E55*6</f>
        <v>5293.785071466384</v>
      </c>
      <c r="H55" t="str">
        <v/>
      </c>
      <c r="I55">
        <f>E55*Assumptions!$B$4</f>
        <v>83333</v>
      </c>
      <c r="J55">
        <f>F55*Assumptions!$B$4</f>
        <v>999995.9999999999</v>
      </c>
      <c r="K55">
        <f>G55*Assumptions!$B$4</f>
        <v>499997.99999999994</v>
      </c>
    </row>
    <row r="56">
      <c r="A56" t="str">
        <v>DevOps</v>
      </c>
      <c r="B56" t="str">
        <v>Person</v>
      </c>
      <c r="C56">
        <v>0.5</v>
      </c>
      <c r="D56">
        <f>Assumptions!$B$13/Assumptions!$B$4</f>
        <v>1941.0587612493382</v>
      </c>
      <c r="E56">
        <f>C56*D56</f>
        <v>970.5293806246691</v>
      </c>
      <c r="F56">
        <f>E56*12</f>
        <v>11646.35256749603</v>
      </c>
      <c r="G56">
        <f>E56*6</f>
        <v>5823.176283748015</v>
      </c>
      <c r="H56" t="str">
        <v/>
      </c>
      <c r="I56">
        <f>E56*Assumptions!$B$4</f>
        <v>91666.5</v>
      </c>
      <c r="J56">
        <f>F56*Assumptions!$B$4</f>
        <v>1099998</v>
      </c>
      <c r="K56">
        <f>G56*Assumptions!$B$4</f>
        <v>549999</v>
      </c>
    </row>
    <row r="57">
      <c r="A57" t="str">
        <v>Home Setup Stipend (per person)</v>
      </c>
      <c r="B57" t="str">
        <v>One-time</v>
      </c>
      <c r="C57">
        <v>3.5</v>
      </c>
      <c r="D57">
        <v>200</v>
      </c>
      <c r="E57">
        <f>C57*D57</f>
        <v>700</v>
      </c>
      <c r="F57">
        <f>E57*12</f>
        <v>8400</v>
      </c>
      <c r="G57">
        <f>E57*6</f>
        <v>4200</v>
      </c>
      <c r="H57" t="str">
        <v/>
      </c>
      <c r="I57">
        <f>E57*Assumptions!$B$4</f>
        <v>66115</v>
      </c>
      <c r="J57">
        <f>F57*Assumptions!$B$4</f>
        <v>793380</v>
      </c>
      <c r="K57">
        <f>G57*Assumptions!$B$4</f>
        <v>396690</v>
      </c>
    </row>
    <row r="58">
      <c r="A58" t="str">
        <v>Internet Stipend</v>
      </c>
      <c r="B58" t="str">
        <v>Month</v>
      </c>
      <c r="C58">
        <v>1</v>
      </c>
      <c r="D58">
        <v>200</v>
      </c>
      <c r="E58">
        <f>C58*D58</f>
        <v>200</v>
      </c>
      <c r="F58">
        <f>E58*12</f>
        <v>2400</v>
      </c>
      <c r="G58">
        <f>E58*6</f>
        <v>1200</v>
      </c>
      <c r="H58" t="str">
        <v/>
      </c>
      <c r="I58">
        <f>E58*Assumptions!$B$4</f>
        <v>18890</v>
      </c>
      <c r="J58">
        <f>F58*Assumptions!$B$4</f>
        <v>226680</v>
      </c>
      <c r="K58">
        <f>G58*Assumptions!$B$4</f>
        <v>113340</v>
      </c>
    </row>
    <row r="59">
      <c r="A59" t="str">
        <v>Team Subtotal</v>
      </c>
      <c r="B59" t="str">
        <v/>
      </c>
      <c r="C59" t="str">
        <v/>
      </c>
      <c r="D59" t="str">
        <v/>
      </c>
      <c r="E59">
        <f>SUM(E53:E58)</f>
        <v>8223.086289041821</v>
      </c>
      <c r="F59">
        <f>E59*12</f>
        <v>98677.03546850185</v>
      </c>
      <c r="G59">
        <f>E59*6</f>
        <v>49338.51773425093</v>
      </c>
      <c r="H59" t="str">
        <v/>
      </c>
      <c r="I59">
        <f>E59*Assumptions!$B$4</f>
        <v>776670.5</v>
      </c>
      <c r="J59">
        <f>F59*Assumptions!$B$4</f>
        <v>9320046</v>
      </c>
      <c r="K59">
        <f>G59*Assumptions!$B$4</f>
        <v>4660023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Customer Acquisition (CAC-based)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New user acquisition (paid + organic, blended)</v>
      </c>
      <c r="B62" t="str">
        <v>New users/mo</v>
      </c>
      <c r="C62">
        <v>180</v>
      </c>
      <c r="D62">
        <f>Assumptions!$B$24</f>
        <v>8</v>
      </c>
      <c r="E62">
        <f>C62*D62</f>
        <v>1440</v>
      </c>
      <c r="F62">
        <f>E62*12</f>
        <v>17280</v>
      </c>
      <c r="G62">
        <f>E62*6</f>
        <v>8640</v>
      </c>
      <c r="H62" t="str">
        <v>900 net-new users over Months 2-6 (100→1,000) ÷ 5mo = 180/mo net-new × Year 1 blended CAC ($8). Added 2026-09-08 -- previously the CAC stated in the Pitch Deck's unit-economics table was never charged against this cost model.</v>
      </c>
      <c r="I62">
        <f>E62*Assumptions!$B$4</f>
        <v>136008</v>
      </c>
      <c r="J62">
        <f>F62*Assumptions!$B$4</f>
        <v>1632096</v>
      </c>
      <c r="K62">
        <f>G62*Assumptions!$B$4</f>
        <v>816048</v>
      </c>
    </row>
    <row r="63">
      <c r="A63" t="str">
        <v>Customer Acquisition Subtotal</v>
      </c>
      <c r="B63" t="str">
        <v/>
      </c>
      <c r="C63" t="str">
        <v/>
      </c>
      <c r="D63" t="str">
        <v/>
      </c>
      <c r="E63">
        <f>SUM(E62:E62)</f>
        <v>1440</v>
      </c>
      <c r="F63">
        <f>E63*12</f>
        <v>17280</v>
      </c>
      <c r="G63">
        <f>E63*6</f>
        <v>8640</v>
      </c>
      <c r="H63" t="str">
        <v/>
      </c>
      <c r="I63">
        <f>E63*Assumptions!$B$4</f>
        <v>136008</v>
      </c>
      <c r="J63">
        <f>F63*Assumptions!$B$4</f>
        <v>1632096</v>
      </c>
      <c r="K63">
        <f>G63*Assumptions!$B$4</f>
        <v>816048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>Operating Costs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SaaS Tools (Jira, Slack, etc.)</v>
      </c>
      <c r="B66" t="str">
        <v>Month</v>
      </c>
      <c r="C66">
        <v>1</v>
      </c>
      <c r="D66">
        <v>300</v>
      </c>
      <c r="E66">
        <f>C66*D66</f>
        <v>300</v>
      </c>
      <c r="F66">
        <f>E66*12</f>
        <v>3600</v>
      </c>
      <c r="G66">
        <f>E66*6</f>
        <v>1800</v>
      </c>
      <c r="H66" t="str">
        <v/>
      </c>
      <c r="I66">
        <f>E66*Assumptions!$B$4</f>
        <v>28335</v>
      </c>
      <c r="J66">
        <f>F66*Assumptions!$B$4</f>
        <v>340020</v>
      </c>
      <c r="K66">
        <f>G66*Assumptions!$B$4</f>
        <v>170010</v>
      </c>
    </row>
    <row r="67">
      <c r="A67" t="str">
        <v>DevOps Tools (CI/CD, monitoring)</v>
      </c>
      <c r="B67" t="str">
        <v>Month</v>
      </c>
      <c r="C67">
        <v>1</v>
      </c>
      <c r="D67">
        <v>200</v>
      </c>
      <c r="E67">
        <f>C67*D67</f>
        <v>200</v>
      </c>
      <c r="F67">
        <f>E67*12</f>
        <v>2400</v>
      </c>
      <c r="G67">
        <f>E67*6</f>
        <v>1200</v>
      </c>
      <c r="H67" t="str">
        <v/>
      </c>
      <c r="I67">
        <f>E67*Assumptions!$B$4</f>
        <v>18890</v>
      </c>
      <c r="J67">
        <f>F67*Assumptions!$B$4</f>
        <v>226680</v>
      </c>
      <c r="K67">
        <f>G67*Assumptions!$B$4</f>
        <v>113340</v>
      </c>
    </row>
    <row r="68">
      <c r="A68" t="str">
        <v>Communication &amp; Collaboration</v>
      </c>
      <c r="B68" t="str">
        <v>Month</v>
      </c>
      <c r="C68">
        <v>1</v>
      </c>
      <c r="D68">
        <v>150</v>
      </c>
      <c r="E68">
        <f>C68*D68</f>
        <v>150</v>
      </c>
      <c r="F68">
        <f>E68*12</f>
        <v>1800</v>
      </c>
      <c r="G68">
        <f>E68*6</f>
        <v>900</v>
      </c>
      <c r="H68" t="str">
        <v/>
      </c>
      <c r="I68">
        <f>E68*Assumptions!$B$4</f>
        <v>14167.5</v>
      </c>
      <c r="J68">
        <f>F68*Assumptions!$B$4</f>
        <v>170010</v>
      </c>
      <c r="K68">
        <f>G68*Assumptions!$B$4</f>
        <v>85005</v>
      </c>
    </row>
    <row r="69">
      <c r="A69" t="str">
        <v>Professional Development</v>
      </c>
      <c r="B69" t="str">
        <v>Month</v>
      </c>
      <c r="C69">
        <v>1</v>
      </c>
      <c r="D69">
        <v>200</v>
      </c>
      <c r="E69">
        <f>C69*D69</f>
        <v>200</v>
      </c>
      <c r="F69">
        <f>E69*12</f>
        <v>2400</v>
      </c>
      <c r="G69">
        <f>E69*6</f>
        <v>1200</v>
      </c>
      <c r="H69" t="str">
        <v/>
      </c>
      <c r="I69">
        <f>E69*Assumptions!$B$4</f>
        <v>18890</v>
      </c>
      <c r="J69">
        <f>F69*Assumptions!$B$4</f>
        <v>226680</v>
      </c>
      <c r="K69">
        <f>G69*Assumptions!$B$4</f>
        <v>113340</v>
      </c>
    </row>
    <row r="70">
      <c r="A70" t="str">
        <v>Insurance &amp; Compliance</v>
      </c>
      <c r="B70" t="str">
        <v>Month</v>
      </c>
      <c r="C70">
        <v>1</v>
      </c>
      <c r="D70">
        <v>300</v>
      </c>
      <c r="E70">
        <f>C70*D70</f>
        <v>300</v>
      </c>
      <c r="F70">
        <f>E70*12</f>
        <v>3600</v>
      </c>
      <c r="G70">
        <f>E70*6</f>
        <v>1800</v>
      </c>
      <c r="H70" t="str">
        <v/>
      </c>
      <c r="I70">
        <f>E70*Assumptions!$B$4</f>
        <v>28335</v>
      </c>
      <c r="J70">
        <f>F70*Assumptions!$B$4</f>
        <v>340020</v>
      </c>
      <c r="K70">
        <f>G70*Assumptions!$B$4</f>
        <v>170010</v>
      </c>
    </row>
    <row r="71">
      <c r="A71" t="str">
        <v>Marketing &amp; Community</v>
      </c>
      <c r="B71" t="str">
        <v>Month</v>
      </c>
      <c r="C71">
        <v>1</v>
      </c>
      <c r="D71">
        <v>500</v>
      </c>
      <c r="E71">
        <f>C71*D71</f>
        <v>500</v>
      </c>
      <c r="F71">
        <f>E71*12</f>
        <v>6000</v>
      </c>
      <c r="G71">
        <f>E71*6</f>
        <v>3000</v>
      </c>
      <c r="H71" t="str">
        <v/>
      </c>
      <c r="I71">
        <f>E71*Assumptions!$B$4</f>
        <v>47225</v>
      </c>
      <c r="J71">
        <f>F71*Assumptions!$B$4</f>
        <v>566700</v>
      </c>
      <c r="K71">
        <f>G71*Assumptions!$B$4</f>
        <v>283350</v>
      </c>
    </row>
    <row r="72">
      <c r="A72" t="str">
        <v>Operating Subtotal</v>
      </c>
      <c r="B72" t="str">
        <v/>
      </c>
      <c r="C72" t="str">
        <v/>
      </c>
      <c r="D72" t="str">
        <v/>
      </c>
      <c r="E72">
        <f>SUM(E66:E71)</f>
        <v>1650</v>
      </c>
      <c r="F72">
        <f>E72*12</f>
        <v>19800</v>
      </c>
      <c r="G72">
        <f>E72*6</f>
        <v>9900</v>
      </c>
      <c r="H72" t="str">
        <v/>
      </c>
      <c r="I72">
        <f>E72*Assumptions!$B$4</f>
        <v>155842.5</v>
      </c>
      <c r="J72">
        <f>F72*Assumptions!$B$4</f>
        <v>1870110</v>
      </c>
      <c r="K72">
        <f>G72*Assumptions!$B$4</f>
        <v>935055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>TOTAL MONTHLY COST</v>
      </c>
      <c r="B74" t="str">
        <v/>
      </c>
      <c r="C74" t="str">
        <v/>
      </c>
      <c r="D74" t="str">
        <v/>
      </c>
      <c r="E74">
        <f>E50+E59+E63+E72</f>
        <v>11908.086289041821</v>
      </c>
      <c r="F74">
        <f>E74*12</f>
        <v>142897.03546850185</v>
      </c>
      <c r="G74">
        <f>E74*6</f>
        <v>71448.51773425093</v>
      </c>
      <c r="H74" t="str">
        <v/>
      </c>
      <c r="I74">
        <f>E74*Assumptions!$B$4</f>
        <v>1124718.75</v>
      </c>
      <c r="J74">
        <f>F74*Assumptions!$B$4</f>
        <v>13496625</v>
      </c>
      <c r="K74">
        <f>G74*Assumptions!$B$4</f>
        <v>6748312.5</v>
      </c>
    </row>
    <row r="75">
      <c r="A75" t="str">
        <v>Cost per User (Monthly)</v>
      </c>
      <c r="B75" t="str">
        <v/>
      </c>
      <c r="C75" t="str">
        <v/>
      </c>
      <c r="D75" t="str">
        <v/>
      </c>
      <c r="E75">
        <f>E74/1000</f>
        <v>11.90808628904182</v>
      </c>
      <c r="F75" t="str">
        <v/>
      </c>
      <c r="G75" t="str">
        <v/>
      </c>
      <c r="H75" t="str">
        <v/>
      </c>
      <c r="I75">
        <f>E75*Assumptions!$B$4</f>
        <v>1124.71875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Month 12 — 5,000 Users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Category</v>
      </c>
      <c r="B79" t="str">
        <v>Unit</v>
      </c>
      <c r="C79" t="str">
        <v>Quantity</v>
      </c>
      <c r="D79" t="str">
        <v>Unit Cost (USD)</v>
      </c>
      <c r="E79" t="str">
        <v>Monthly Cost (USD)</v>
      </c>
      <c r="F79" t="str">
        <v>Annual Cost (USD)</v>
      </c>
      <c r="G79" t="str">
        <v>6-Month Cost (USD)</v>
      </c>
      <c r="H79" t="str">
        <v>Notes</v>
      </c>
      <c r="I79" t="str">
        <v>Monthly Cost (INR)</v>
      </c>
      <c r="J79" t="str">
        <v>Annual Cost (INR)</v>
      </c>
      <c r="K79" t="str">
        <v>6-Month Cost (INR)</v>
      </c>
    </row>
    <row r="80">
      <c r="A80" t="str">
        <v>AWS Infrastructure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compute</v>
      </c>
      <c r="B81" t="str">
        <v>Month</v>
      </c>
      <c r="C81">
        <v>1</v>
      </c>
      <c r="D81">
        <v>600</v>
      </c>
      <c r="E81">
        <f>C81*D81</f>
        <v>600</v>
      </c>
      <c r="F81">
        <f>E81*12</f>
        <v>7200</v>
      </c>
      <c r="G81">
        <f>E81*6</f>
        <v>3600</v>
      </c>
      <c r="H81" t="str">
        <v/>
      </c>
      <c r="I81">
        <f>E81*Assumptions!$B$4</f>
        <v>56670</v>
      </c>
      <c r="J81">
        <f>F81*Assumptions!$B$4</f>
        <v>680040</v>
      </c>
      <c r="K81">
        <f>G81*Assumptions!$B$4</f>
        <v>340020</v>
      </c>
    </row>
    <row r="82">
      <c r="A82" t="str">
        <v>database</v>
      </c>
      <c r="B82" t="str">
        <v>Month</v>
      </c>
      <c r="C82">
        <v>1</v>
      </c>
      <c r="D82">
        <v>400</v>
      </c>
      <c r="E82">
        <f>C82*D82</f>
        <v>400</v>
      </c>
      <c r="F82">
        <f>E82*12</f>
        <v>4800</v>
      </c>
      <c r="G82">
        <f>E82*6</f>
        <v>2400</v>
      </c>
      <c r="H82" t="str">
        <v/>
      </c>
      <c r="I82">
        <f>E82*Assumptions!$B$4</f>
        <v>37780</v>
      </c>
      <c r="J82">
        <f>F82*Assumptions!$B$4</f>
        <v>453360</v>
      </c>
      <c r="K82">
        <f>G82*Assumptions!$B$4</f>
        <v>226680</v>
      </c>
    </row>
    <row r="83">
      <c r="A83" t="str">
        <v>storage</v>
      </c>
      <c r="B83" t="str">
        <v>Month</v>
      </c>
      <c r="C83">
        <v>1</v>
      </c>
      <c r="D83">
        <v>150</v>
      </c>
      <c r="E83">
        <f>C83*D83</f>
        <v>150</v>
      </c>
      <c r="F83">
        <f>E83*12</f>
        <v>1800</v>
      </c>
      <c r="G83">
        <f>E83*6</f>
        <v>900</v>
      </c>
      <c r="H83" t="str">
        <v/>
      </c>
      <c r="I83">
        <f>E83*Assumptions!$B$4</f>
        <v>14167.5</v>
      </c>
      <c r="J83">
        <f>F83*Assumptions!$B$4</f>
        <v>170010</v>
      </c>
      <c r="K83">
        <f>G83*Assumptions!$B$4</f>
        <v>85005</v>
      </c>
    </row>
    <row r="84">
      <c r="A84" t="str">
        <v>networking</v>
      </c>
      <c r="B84" t="str">
        <v>Month</v>
      </c>
      <c r="C84">
        <v>1</v>
      </c>
      <c r="D84">
        <v>100</v>
      </c>
      <c r="E84">
        <f>C84*D84</f>
        <v>100</v>
      </c>
      <c r="F84">
        <f>E84*12</f>
        <v>1200</v>
      </c>
      <c r="G84">
        <f>E84*6</f>
        <v>600</v>
      </c>
      <c r="H84" t="str">
        <v/>
      </c>
      <c r="I84">
        <f>E84*Assumptions!$B$4</f>
        <v>9445</v>
      </c>
      <c r="J84">
        <f>F84*Assumptions!$B$4</f>
        <v>113340</v>
      </c>
      <c r="K84">
        <f>G84*Assumptions!$B$4</f>
        <v>56670</v>
      </c>
    </row>
    <row r="85">
      <c r="A85" t="str">
        <v>data_transfer</v>
      </c>
      <c r="B85" t="str">
        <v>Month</v>
      </c>
      <c r="C85">
        <v>1</v>
      </c>
      <c r="D85">
        <v>120</v>
      </c>
      <c r="E85">
        <f>C85*D85</f>
        <v>120</v>
      </c>
      <c r="F85">
        <f>E85*12</f>
        <v>1440</v>
      </c>
      <c r="G85">
        <f>E85*6</f>
        <v>720</v>
      </c>
      <c r="H85" t="str">
        <v/>
      </c>
      <c r="I85">
        <f>E85*Assumptions!$B$4</f>
        <v>11334</v>
      </c>
      <c r="J85">
        <f>F85*Assumptions!$B$4</f>
        <v>136008</v>
      </c>
      <c r="K85">
        <f>G85*Assumptions!$B$4</f>
        <v>68004</v>
      </c>
    </row>
    <row r="86">
      <c r="A86" t="str">
        <v>monitoring</v>
      </c>
      <c r="B86" t="str">
        <v>Month</v>
      </c>
      <c r="C86">
        <v>1</v>
      </c>
      <c r="D86">
        <v>40</v>
      </c>
      <c r="E86">
        <f>C86*D86</f>
        <v>40</v>
      </c>
      <c r="F86">
        <f>E86*12</f>
        <v>480</v>
      </c>
      <c r="G86">
        <f>E86*6</f>
        <v>240</v>
      </c>
      <c r="H86" t="str">
        <v/>
      </c>
      <c r="I86">
        <f>E86*Assumptions!$B$4</f>
        <v>3778</v>
      </c>
      <c r="J86">
        <f>F86*Assumptions!$B$4</f>
        <v>45336</v>
      </c>
      <c r="K86">
        <f>G86*Assumptions!$B$4</f>
        <v>22668</v>
      </c>
    </row>
    <row r="87">
      <c r="A87" t="str">
        <v>backups</v>
      </c>
      <c r="B87" t="str">
        <v>Month</v>
      </c>
      <c r="C87">
        <v>1</v>
      </c>
      <c r="D87">
        <v>60</v>
      </c>
      <c r="E87">
        <f>C87*D87</f>
        <v>60</v>
      </c>
      <c r="F87">
        <f>E87*12</f>
        <v>720</v>
      </c>
      <c r="G87">
        <f>E87*6</f>
        <v>360</v>
      </c>
      <c r="H87" t="str">
        <v/>
      </c>
      <c r="I87">
        <f>E87*Assumptions!$B$4</f>
        <v>5667</v>
      </c>
      <c r="J87">
        <f>F87*Assumptions!$B$4</f>
        <v>68004</v>
      </c>
      <c r="K87">
        <f>G87*Assumptions!$B$4</f>
        <v>34002</v>
      </c>
    </row>
    <row r="88">
      <c r="A88" t="str">
        <v>AWS Subtotal</v>
      </c>
      <c r="B88" t="str">
        <v/>
      </c>
      <c r="C88" t="str">
        <v/>
      </c>
      <c r="D88" t="str">
        <v/>
      </c>
      <c r="E88">
        <f>SUM(E81:E87)</f>
        <v>1470</v>
      </c>
      <c r="F88">
        <f>E88*12</f>
        <v>17640</v>
      </c>
      <c r="G88">
        <f>E88*6</f>
        <v>8820</v>
      </c>
      <c r="H88" t="str">
        <v/>
      </c>
      <c r="I88">
        <f>E88*Assumptions!$B$4</f>
        <v>138841.5</v>
      </c>
      <c r="J88">
        <f>F88*Assumptions!$B$4</f>
        <v>1666098</v>
      </c>
      <c r="K88">
        <f>G88*Assumptions!$B$4</f>
        <v>833049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Engineering Team (India-based)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Senior Dev</v>
      </c>
      <c r="B91" t="str">
        <v>Person</v>
      </c>
      <c r="C91">
        <v>2</v>
      </c>
      <c r="D91">
        <f>Assumptions!$B$11/Assumptions!$B$4</f>
        <v>3529.2006352567496</v>
      </c>
      <c r="E91">
        <f>C91*D91</f>
        <v>7058.401270513499</v>
      </c>
      <c r="F91">
        <f>E91*12</f>
        <v>84700.81524616199</v>
      </c>
      <c r="G91">
        <f>E91*6</f>
        <v>42350.407623080995</v>
      </c>
      <c r="H91" t="str">
        <v/>
      </c>
      <c r="I91">
        <f>E91*Assumptions!$B$4</f>
        <v>666666</v>
      </c>
      <c r="J91">
        <f>F91*Assumptions!$B$4</f>
        <v>7999992</v>
      </c>
      <c r="K91">
        <f>G91*Assumptions!$B$4</f>
        <v>3999996</v>
      </c>
    </row>
    <row r="92">
      <c r="A92" t="str">
        <v>Mid-level Dev</v>
      </c>
      <c r="B92" t="str">
        <v>Person</v>
      </c>
      <c r="C92">
        <v>2</v>
      </c>
      <c r="D92">
        <f>Assumptions!$B$10/Assumptions!$B$4</f>
        <v>1941.0587612493382</v>
      </c>
      <c r="E92">
        <f>C92*D92</f>
        <v>3882.1175224986764</v>
      </c>
      <c r="F92">
        <f>E92*12</f>
        <v>46585.41026998412</v>
      </c>
      <c r="G92">
        <f>E92*6</f>
        <v>23292.70513499206</v>
      </c>
      <c r="H92" t="str">
        <v/>
      </c>
      <c r="I92">
        <f>E92*Assumptions!$B$4</f>
        <v>366666</v>
      </c>
      <c r="J92">
        <f>F92*Assumptions!$B$4</f>
        <v>4399992</v>
      </c>
      <c r="K92">
        <f>G92*Assumptions!$B$4</f>
        <v>2199996</v>
      </c>
    </row>
    <row r="93">
      <c r="A93" t="str">
        <v>Junior Dev</v>
      </c>
      <c r="B93" t="str">
        <v>Person</v>
      </c>
      <c r="C93">
        <v>2</v>
      </c>
      <c r="D93">
        <f>Assumptions!$B$9/Assumptions!$B$4</f>
        <v>882.297511911064</v>
      </c>
      <c r="E93">
        <f>C93*D93</f>
        <v>1764.595023822128</v>
      </c>
      <c r="F93">
        <f>E93*12</f>
        <v>21175.140285865535</v>
      </c>
      <c r="G93">
        <f>E93*6</f>
        <v>10587.570142932767</v>
      </c>
      <c r="H93" t="str">
        <v/>
      </c>
      <c r="I93">
        <f>E93*Assumptions!$B$4</f>
        <v>166666</v>
      </c>
      <c r="J93">
        <f>F93*Assumptions!$B$4</f>
        <v>1999991.9999999998</v>
      </c>
      <c r="K93">
        <f>G93*Assumptions!$B$4</f>
        <v>999995.9999999999</v>
      </c>
    </row>
    <row r="94">
      <c r="A94" t="str">
        <v>DevOps</v>
      </c>
      <c r="B94" t="str">
        <v>Person</v>
      </c>
      <c r="C94">
        <v>1</v>
      </c>
      <c r="D94">
        <f>Assumptions!$B$13/Assumptions!$B$4</f>
        <v>1941.0587612493382</v>
      </c>
      <c r="E94">
        <f>C94*D94</f>
        <v>1941.0587612493382</v>
      </c>
      <c r="F94">
        <f>E94*12</f>
        <v>23292.70513499206</v>
      </c>
      <c r="G94">
        <f>E94*6</f>
        <v>11646.35256749603</v>
      </c>
      <c r="H94" t="str">
        <v/>
      </c>
      <c r="I94">
        <f>E94*Assumptions!$B$4</f>
        <v>183333</v>
      </c>
      <c r="J94">
        <f>F94*Assumptions!$B$4</f>
        <v>2199996</v>
      </c>
      <c r="K94">
        <f>G94*Assumptions!$B$4</f>
        <v>1099998</v>
      </c>
    </row>
    <row r="95">
      <c r="A95" t="str">
        <v>QA</v>
      </c>
      <c r="B95" t="str">
        <v>Person</v>
      </c>
      <c r="C95">
        <v>1</v>
      </c>
      <c r="D95">
        <f>Assumptions!$B$14/Assumptions!$B$4</f>
        <v>1058.7612493382742</v>
      </c>
      <c r="E95">
        <f>C95*D95</f>
        <v>1058.7612493382742</v>
      </c>
      <c r="F95">
        <f>E95*12</f>
        <v>12705.134992059291</v>
      </c>
      <c r="G95">
        <f>E95*6</f>
        <v>6352.567496029646</v>
      </c>
      <c r="H95" t="str">
        <v/>
      </c>
      <c r="I95">
        <f>E95*Assumptions!$B$4</f>
        <v>100000</v>
      </c>
      <c r="J95">
        <f>F95*Assumptions!$B$4</f>
        <v>1200000</v>
      </c>
      <c r="K95">
        <f>G95*Assumptions!$B$4</f>
        <v>600000</v>
      </c>
    </row>
    <row r="96">
      <c r="A96" t="str">
        <v>Home Setup Stipend (per person)</v>
      </c>
      <c r="B96" t="str">
        <v>One-time</v>
      </c>
      <c r="C96">
        <v>8</v>
      </c>
      <c r="D96">
        <v>200</v>
      </c>
      <c r="E96">
        <f>C96*D96</f>
        <v>1600</v>
      </c>
      <c r="F96">
        <f>E96*12</f>
        <v>19200</v>
      </c>
      <c r="G96">
        <f>E96*6</f>
        <v>9600</v>
      </c>
      <c r="H96" t="str">
        <v/>
      </c>
      <c r="I96">
        <f>E96*Assumptions!$B$4</f>
        <v>151120</v>
      </c>
      <c r="J96">
        <f>F96*Assumptions!$B$4</f>
        <v>1813440</v>
      </c>
      <c r="K96">
        <f>G96*Assumptions!$B$4</f>
        <v>906720</v>
      </c>
    </row>
    <row r="97">
      <c r="A97" t="str">
        <v>Internet Stipend</v>
      </c>
      <c r="B97" t="str">
        <v>Month</v>
      </c>
      <c r="C97">
        <v>1</v>
      </c>
      <c r="D97">
        <v>200</v>
      </c>
      <c r="E97">
        <f>C97*D97</f>
        <v>200</v>
      </c>
      <c r="F97">
        <f>E97*12</f>
        <v>2400</v>
      </c>
      <c r="G97">
        <f>E97*6</f>
        <v>1200</v>
      </c>
      <c r="H97" t="str">
        <v/>
      </c>
      <c r="I97">
        <f>E97*Assumptions!$B$4</f>
        <v>18890</v>
      </c>
      <c r="J97">
        <f>F97*Assumptions!$B$4</f>
        <v>226680</v>
      </c>
      <c r="K97">
        <f>G97*Assumptions!$B$4</f>
        <v>113340</v>
      </c>
    </row>
    <row r="98">
      <c r="A98" t="str">
        <v>Team Subtotal</v>
      </c>
      <c r="B98" t="str">
        <v/>
      </c>
      <c r="C98" t="str">
        <v/>
      </c>
      <c r="D98" t="str">
        <v/>
      </c>
      <c r="E98">
        <f>SUM(E91:E97)</f>
        <v>17504.93382742192</v>
      </c>
      <c r="F98">
        <f>E98*12</f>
        <v>210059.20592906303</v>
      </c>
      <c r="G98">
        <f>E98*6</f>
        <v>105029.60296453151</v>
      </c>
      <c r="H98" t="str">
        <v/>
      </c>
      <c r="I98">
        <f>E98*Assumptions!$B$4</f>
        <v>1653341.0000000002</v>
      </c>
      <c r="J98">
        <f>F98*Assumptions!$B$4</f>
        <v>19840092.000000004</v>
      </c>
      <c r="K98">
        <f>G98*Assumptions!$B$4</f>
        <v>9920046.000000002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Customer Acquisition (CAC-based)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New user acquisition (paid + organic, blended)</v>
      </c>
      <c r="B101" t="str">
        <v>New users/mo</v>
      </c>
      <c r="C101">
        <v>667</v>
      </c>
      <c r="D101">
        <f>Assumptions!$B$24</f>
        <v>8</v>
      </c>
      <c r="E101">
        <f>C101*D101</f>
        <v>5336</v>
      </c>
      <c r="F101">
        <f>E101*12</f>
        <v>64032</v>
      </c>
      <c r="G101">
        <f>E101*6</f>
        <v>32016</v>
      </c>
      <c r="H101" t="str">
        <v>4,000 net-new users over Months 7-12 (1,000→5,000) ÷ 6mo = 667/mo net-new × Year 1 blended CAC ($8). Added 2026-09-08 -- previously the CAC stated in the Pitch Deck's unit-economics table was never charged against this cost model.</v>
      </c>
      <c r="I101">
        <f>E101*Assumptions!$B$4</f>
        <v>503985.2</v>
      </c>
      <c r="J101">
        <f>F101*Assumptions!$B$4</f>
        <v>6047822.4</v>
      </c>
      <c r="K101">
        <f>G101*Assumptions!$B$4</f>
        <v>3023911.2</v>
      </c>
    </row>
    <row r="102">
      <c r="A102" t="str">
        <v>Customer Acquisition Subtotal</v>
      </c>
      <c r="B102" t="str">
        <v/>
      </c>
      <c r="C102" t="str">
        <v/>
      </c>
      <c r="D102" t="str">
        <v/>
      </c>
      <c r="E102">
        <f>SUM(E101:E101)</f>
        <v>5336</v>
      </c>
      <c r="F102">
        <f>E102*12</f>
        <v>64032</v>
      </c>
      <c r="G102">
        <f>E102*6</f>
        <v>32016</v>
      </c>
      <c r="H102" t="str">
        <v/>
      </c>
      <c r="I102">
        <f>E102*Assumptions!$B$4</f>
        <v>503985.2</v>
      </c>
      <c r="J102">
        <f>F102*Assumptions!$B$4</f>
        <v>6047822.4</v>
      </c>
      <c r="K102">
        <f>G102*Assumptions!$B$4</f>
        <v>3023911.2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Operating Costs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SaaS Tools (Jira, Slack, etc.)</v>
      </c>
      <c r="B105" t="str">
        <v>Month</v>
      </c>
      <c r="C105">
        <v>1</v>
      </c>
      <c r="D105">
        <v>300</v>
      </c>
      <c r="E105">
        <f>C105*D105</f>
        <v>300</v>
      </c>
      <c r="F105">
        <f>E105*12</f>
        <v>3600</v>
      </c>
      <c r="G105">
        <f>E105*6</f>
        <v>1800</v>
      </c>
      <c r="H105" t="str">
        <v/>
      </c>
      <c r="I105">
        <f>E105*Assumptions!$B$4</f>
        <v>28335</v>
      </c>
      <c r="J105">
        <f>F105*Assumptions!$B$4</f>
        <v>340020</v>
      </c>
      <c r="K105">
        <f>G105*Assumptions!$B$4</f>
        <v>170010</v>
      </c>
    </row>
    <row r="106">
      <c r="A106" t="str">
        <v>DevOps Tools (CI/CD, monitoring)</v>
      </c>
      <c r="B106" t="str">
        <v>Month</v>
      </c>
      <c r="C106">
        <v>1</v>
      </c>
      <c r="D106">
        <v>200</v>
      </c>
      <c r="E106">
        <f>C106*D106</f>
        <v>200</v>
      </c>
      <c r="F106">
        <f>E106*12</f>
        <v>2400</v>
      </c>
      <c r="G106">
        <f>E106*6</f>
        <v>1200</v>
      </c>
      <c r="H106" t="str">
        <v/>
      </c>
      <c r="I106">
        <f>E106*Assumptions!$B$4</f>
        <v>18890</v>
      </c>
      <c r="J106">
        <f>F106*Assumptions!$B$4</f>
        <v>226680</v>
      </c>
      <c r="K106">
        <f>G106*Assumptions!$B$4</f>
        <v>113340</v>
      </c>
    </row>
    <row r="107">
      <c r="A107" t="str">
        <v>Communication &amp; Collaboration</v>
      </c>
      <c r="B107" t="str">
        <v>Month</v>
      </c>
      <c r="C107">
        <v>1</v>
      </c>
      <c r="D107">
        <v>150</v>
      </c>
      <c r="E107">
        <f>C107*D107</f>
        <v>150</v>
      </c>
      <c r="F107">
        <f>E107*12</f>
        <v>1800</v>
      </c>
      <c r="G107">
        <f>E107*6</f>
        <v>900</v>
      </c>
      <c r="H107" t="str">
        <v/>
      </c>
      <c r="I107">
        <f>E107*Assumptions!$B$4</f>
        <v>14167.5</v>
      </c>
      <c r="J107">
        <f>F107*Assumptions!$B$4</f>
        <v>170010</v>
      </c>
      <c r="K107">
        <f>G107*Assumptions!$B$4</f>
        <v>85005</v>
      </c>
    </row>
    <row r="108">
      <c r="A108" t="str">
        <v>Professional Development</v>
      </c>
      <c r="B108" t="str">
        <v>Month</v>
      </c>
      <c r="C108">
        <v>1</v>
      </c>
      <c r="D108">
        <v>200</v>
      </c>
      <c r="E108">
        <f>C108*D108</f>
        <v>200</v>
      </c>
      <c r="F108">
        <f>E108*12</f>
        <v>2400</v>
      </c>
      <c r="G108">
        <f>E108*6</f>
        <v>1200</v>
      </c>
      <c r="H108" t="str">
        <v/>
      </c>
      <c r="I108">
        <f>E108*Assumptions!$B$4</f>
        <v>18890</v>
      </c>
      <c r="J108">
        <f>F108*Assumptions!$B$4</f>
        <v>226680</v>
      </c>
      <c r="K108">
        <f>G108*Assumptions!$B$4</f>
        <v>113340</v>
      </c>
    </row>
    <row r="109">
      <c r="A109" t="str">
        <v>Insurance &amp; Compliance</v>
      </c>
      <c r="B109" t="str">
        <v>Month</v>
      </c>
      <c r="C109">
        <v>1</v>
      </c>
      <c r="D109">
        <v>300</v>
      </c>
      <c r="E109">
        <f>C109*D109</f>
        <v>300</v>
      </c>
      <c r="F109">
        <f>E109*12</f>
        <v>3600</v>
      </c>
      <c r="G109">
        <f>E109*6</f>
        <v>1800</v>
      </c>
      <c r="H109" t="str">
        <v/>
      </c>
      <c r="I109">
        <f>E109*Assumptions!$B$4</f>
        <v>28335</v>
      </c>
      <c r="J109">
        <f>F109*Assumptions!$B$4</f>
        <v>340020</v>
      </c>
      <c r="K109">
        <f>G109*Assumptions!$B$4</f>
        <v>170010</v>
      </c>
    </row>
    <row r="110">
      <c r="A110" t="str">
        <v>Marketing &amp; Community</v>
      </c>
      <c r="B110" t="str">
        <v>Month</v>
      </c>
      <c r="C110">
        <v>1</v>
      </c>
      <c r="D110">
        <v>500</v>
      </c>
      <c r="E110">
        <f>C110*D110</f>
        <v>500</v>
      </c>
      <c r="F110">
        <f>E110*12</f>
        <v>6000</v>
      </c>
      <c r="G110">
        <f>E110*6</f>
        <v>3000</v>
      </c>
      <c r="H110" t="str">
        <v/>
      </c>
      <c r="I110">
        <f>E110*Assumptions!$B$4</f>
        <v>47225</v>
      </c>
      <c r="J110">
        <f>F110*Assumptions!$B$4</f>
        <v>566700</v>
      </c>
      <c r="K110">
        <f>G110*Assumptions!$B$4</f>
        <v>283350</v>
      </c>
    </row>
    <row r="111">
      <c r="A111" t="str">
        <v>Operating Subtotal</v>
      </c>
      <c r="B111" t="str">
        <v/>
      </c>
      <c r="C111" t="str">
        <v/>
      </c>
      <c r="D111" t="str">
        <v/>
      </c>
      <c r="E111">
        <f>SUM(E105:E110)</f>
        <v>1650</v>
      </c>
      <c r="F111">
        <f>E111*12</f>
        <v>19800</v>
      </c>
      <c r="G111">
        <f>E111*6</f>
        <v>9900</v>
      </c>
      <c r="H111" t="str">
        <v/>
      </c>
      <c r="I111">
        <f>E111*Assumptions!$B$4</f>
        <v>155842.5</v>
      </c>
      <c r="J111">
        <f>F111*Assumptions!$B$4</f>
        <v>1870110</v>
      </c>
      <c r="K111">
        <f>G111*Assumptions!$B$4</f>
        <v>935055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TOTAL MONTHLY COST</v>
      </c>
      <c r="B113" t="str">
        <v/>
      </c>
      <c r="C113" t="str">
        <v/>
      </c>
      <c r="D113" t="str">
        <v/>
      </c>
      <c r="E113">
        <f>E88+E98+E102+E111</f>
        <v>25960.93382742192</v>
      </c>
      <c r="F113">
        <f>E113*12</f>
        <v>311531.205929063</v>
      </c>
      <c r="G113">
        <f>E113*6</f>
        <v>155765.6029645315</v>
      </c>
      <c r="H113" t="str">
        <v/>
      </c>
      <c r="I113">
        <f>E113*Assumptions!$B$4</f>
        <v>2452010.2</v>
      </c>
      <c r="J113">
        <f>F113*Assumptions!$B$4</f>
        <v>29424122.400000002</v>
      </c>
      <c r="K113">
        <f>G113*Assumptions!$B$4</f>
        <v>14712061.200000001</v>
      </c>
    </row>
    <row r="114">
      <c r="A114" t="str">
        <v>Cost per User (Monthly)</v>
      </c>
      <c r="B114" t="str">
        <v/>
      </c>
      <c r="C114" t="str">
        <v/>
      </c>
      <c r="D114" t="str">
        <v/>
      </c>
      <c r="E114">
        <f>E113/5000</f>
        <v>5.192186765484384</v>
      </c>
      <c r="F114" t="str">
        <v/>
      </c>
      <c r="G114" t="str">
        <v/>
      </c>
      <c r="H114" t="str">
        <v/>
      </c>
      <c r="I114">
        <f>E114*Assumptions!$B$4</f>
        <v>490.40204000000006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Month 18 — 10,000 Users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Category</v>
      </c>
      <c r="B118" t="str">
        <v>Unit</v>
      </c>
      <c r="C118" t="str">
        <v>Quantity</v>
      </c>
      <c r="D118" t="str">
        <v>Unit Cost (USD)</v>
      </c>
      <c r="E118" t="str">
        <v>Monthly Cost (USD)</v>
      </c>
      <c r="F118" t="str">
        <v>Annual Cost (USD)</v>
      </c>
      <c r="G118" t="str">
        <v>6-Month Cost (USD)</v>
      </c>
      <c r="H118" t="str">
        <v>Notes</v>
      </c>
      <c r="I118" t="str">
        <v>Monthly Cost (INR)</v>
      </c>
      <c r="J118" t="str">
        <v>Annual Cost (INR)</v>
      </c>
      <c r="K118" t="str">
        <v>6-Month Cost (INR)</v>
      </c>
    </row>
    <row r="119">
      <c r="A119" t="str">
        <v>AWS Infrastructure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>compute</v>
      </c>
      <c r="B120" t="str">
        <v>Month</v>
      </c>
      <c r="C120">
        <v>1</v>
      </c>
      <c r="D120">
        <v>1200</v>
      </c>
      <c r="E120">
        <f>C120*D120</f>
        <v>1200</v>
      </c>
      <c r="F120">
        <f>E120*12</f>
        <v>14400</v>
      </c>
      <c r="G120">
        <f>E120*6</f>
        <v>7200</v>
      </c>
      <c r="H120" t="str">
        <v/>
      </c>
      <c r="I120">
        <f>E120*Assumptions!$B$4</f>
        <v>113340</v>
      </c>
      <c r="J120">
        <f>F120*Assumptions!$B$4</f>
        <v>1360080</v>
      </c>
      <c r="K120">
        <f>G120*Assumptions!$B$4</f>
        <v>680040</v>
      </c>
    </row>
    <row r="121">
      <c r="A121" t="str">
        <v>database</v>
      </c>
      <c r="B121" t="str">
        <v>Month</v>
      </c>
      <c r="C121">
        <v>1</v>
      </c>
      <c r="D121">
        <v>800</v>
      </c>
      <c r="E121">
        <f>C121*D121</f>
        <v>800</v>
      </c>
      <c r="F121">
        <f>E121*12</f>
        <v>9600</v>
      </c>
      <c r="G121">
        <f>E121*6</f>
        <v>4800</v>
      </c>
      <c r="H121" t="str">
        <v/>
      </c>
      <c r="I121">
        <f>E121*Assumptions!$B$4</f>
        <v>75560</v>
      </c>
      <c r="J121">
        <f>F121*Assumptions!$B$4</f>
        <v>906720</v>
      </c>
      <c r="K121">
        <f>G121*Assumptions!$B$4</f>
        <v>453360</v>
      </c>
    </row>
    <row r="122">
      <c r="A122" t="str">
        <v>storage</v>
      </c>
      <c r="B122" t="str">
        <v>Month</v>
      </c>
      <c r="C122">
        <v>1</v>
      </c>
      <c r="D122">
        <v>300</v>
      </c>
      <c r="E122">
        <f>C122*D122</f>
        <v>300</v>
      </c>
      <c r="F122">
        <f>E122*12</f>
        <v>3600</v>
      </c>
      <c r="G122">
        <f>E122*6</f>
        <v>1800</v>
      </c>
      <c r="H122" t="str">
        <v/>
      </c>
      <c r="I122">
        <f>E122*Assumptions!$B$4</f>
        <v>28335</v>
      </c>
      <c r="J122">
        <f>F122*Assumptions!$B$4</f>
        <v>340020</v>
      </c>
      <c r="K122">
        <f>G122*Assumptions!$B$4</f>
        <v>170010</v>
      </c>
    </row>
    <row r="123">
      <c r="A123" t="str">
        <v>networking</v>
      </c>
      <c r="B123" t="str">
        <v>Month</v>
      </c>
      <c r="C123">
        <v>1</v>
      </c>
      <c r="D123">
        <v>200</v>
      </c>
      <c r="E123">
        <f>C123*D123</f>
        <v>200</v>
      </c>
      <c r="F123">
        <f>E123*12</f>
        <v>2400</v>
      </c>
      <c r="G123">
        <f>E123*6</f>
        <v>1200</v>
      </c>
      <c r="H123" t="str">
        <v/>
      </c>
      <c r="I123">
        <f>E123*Assumptions!$B$4</f>
        <v>18890</v>
      </c>
      <c r="J123">
        <f>F123*Assumptions!$B$4</f>
        <v>226680</v>
      </c>
      <c r="K123">
        <f>G123*Assumptions!$B$4</f>
        <v>113340</v>
      </c>
    </row>
    <row r="124">
      <c r="A124" t="str">
        <v>data_transfer</v>
      </c>
      <c r="B124" t="str">
        <v>Month</v>
      </c>
      <c r="C124">
        <v>1</v>
      </c>
      <c r="D124">
        <v>250</v>
      </c>
      <c r="E124">
        <f>C124*D124</f>
        <v>250</v>
      </c>
      <c r="F124">
        <f>E124*12</f>
        <v>3000</v>
      </c>
      <c r="G124">
        <f>E124*6</f>
        <v>1500</v>
      </c>
      <c r="H124" t="str">
        <v/>
      </c>
      <c r="I124">
        <f>E124*Assumptions!$B$4</f>
        <v>23612.5</v>
      </c>
      <c r="J124">
        <f>F124*Assumptions!$B$4</f>
        <v>283350</v>
      </c>
      <c r="K124">
        <f>G124*Assumptions!$B$4</f>
        <v>141675</v>
      </c>
    </row>
    <row r="125">
      <c r="A125" t="str">
        <v>monitoring</v>
      </c>
      <c r="B125" t="str">
        <v>Month</v>
      </c>
      <c r="C125">
        <v>1</v>
      </c>
      <c r="D125">
        <v>75</v>
      </c>
      <c r="E125">
        <f>C125*D125</f>
        <v>75</v>
      </c>
      <c r="F125">
        <f>E125*12</f>
        <v>900</v>
      </c>
      <c r="G125">
        <f>E125*6</f>
        <v>450</v>
      </c>
      <c r="H125" t="str">
        <v/>
      </c>
      <c r="I125">
        <f>E125*Assumptions!$B$4</f>
        <v>7083.75</v>
      </c>
      <c r="J125">
        <f>F125*Assumptions!$B$4</f>
        <v>85005</v>
      </c>
      <c r="K125">
        <f>G125*Assumptions!$B$4</f>
        <v>42502.5</v>
      </c>
    </row>
    <row r="126">
      <c r="A126" t="str">
        <v>backups</v>
      </c>
      <c r="B126" t="str">
        <v>Month</v>
      </c>
      <c r="C126">
        <v>1</v>
      </c>
      <c r="D126">
        <v>125</v>
      </c>
      <c r="E126">
        <f>C126*D126</f>
        <v>125</v>
      </c>
      <c r="F126">
        <f>E126*12</f>
        <v>1500</v>
      </c>
      <c r="G126">
        <f>E126*6</f>
        <v>750</v>
      </c>
      <c r="H126" t="str">
        <v/>
      </c>
      <c r="I126">
        <f>E126*Assumptions!$B$4</f>
        <v>11806.25</v>
      </c>
      <c r="J126">
        <f>F126*Assumptions!$B$4</f>
        <v>141675</v>
      </c>
      <c r="K126">
        <f>G126*Assumptions!$B$4</f>
        <v>70837.5</v>
      </c>
    </row>
    <row r="127">
      <c r="A127" t="str">
        <v>AWS Subtotal</v>
      </c>
      <c r="B127" t="str">
        <v/>
      </c>
      <c r="C127" t="str">
        <v/>
      </c>
      <c r="D127" t="str">
        <v/>
      </c>
      <c r="E127">
        <f>SUM(E120:E126)</f>
        <v>2950</v>
      </c>
      <c r="F127">
        <f>E127*12</f>
        <v>35400</v>
      </c>
      <c r="G127">
        <f>E127*6</f>
        <v>17700</v>
      </c>
      <c r="H127" t="str">
        <v/>
      </c>
      <c r="I127">
        <f>E127*Assumptions!$B$4</f>
        <v>278627.5</v>
      </c>
      <c r="J127">
        <f>F127*Assumptions!$B$4</f>
        <v>3343530</v>
      </c>
      <c r="K127">
        <f>G127*Assumptions!$B$4</f>
        <v>1671765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Engineering Team (India-based)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>Senior Dev</v>
      </c>
      <c r="B130" t="str">
        <v>Person</v>
      </c>
      <c r="C130">
        <v>2</v>
      </c>
      <c r="D130">
        <f>Assumptions!$B$11/Assumptions!$B$4</f>
        <v>3529.2006352567496</v>
      </c>
      <c r="E130">
        <f>C130*D130</f>
        <v>7058.401270513499</v>
      </c>
      <c r="F130">
        <f>E130*12</f>
        <v>84700.81524616199</v>
      </c>
      <c r="G130">
        <f>E130*6</f>
        <v>42350.407623080995</v>
      </c>
      <c r="H130" t="str">
        <v/>
      </c>
      <c r="I130">
        <f>E130*Assumptions!$B$4</f>
        <v>666666</v>
      </c>
      <c r="J130">
        <f>F130*Assumptions!$B$4</f>
        <v>7999992</v>
      </c>
      <c r="K130">
        <f>G130*Assumptions!$B$4</f>
        <v>3999996</v>
      </c>
    </row>
    <row r="131">
      <c r="A131" t="str">
        <v>Mid-level Dev</v>
      </c>
      <c r="B131" t="str">
        <v>Person</v>
      </c>
      <c r="C131">
        <v>3</v>
      </c>
      <c r="D131">
        <f>Assumptions!$B$10/Assumptions!$B$4</f>
        <v>1941.0587612493382</v>
      </c>
      <c r="E131">
        <f>C131*D131</f>
        <v>5823.176283748015</v>
      </c>
      <c r="F131">
        <f>E131*12</f>
        <v>69878.11540497618</v>
      </c>
      <c r="G131">
        <f>E131*6</f>
        <v>34939.05770248809</v>
      </c>
      <c r="H131" t="str">
        <v/>
      </c>
      <c r="I131">
        <f>E131*Assumptions!$B$4</f>
        <v>549999</v>
      </c>
      <c r="J131">
        <f>F131*Assumptions!$B$4</f>
        <v>6599988.000000001</v>
      </c>
      <c r="K131">
        <f>G131*Assumptions!$B$4</f>
        <v>3299994.0000000005</v>
      </c>
    </row>
    <row r="132">
      <c r="A132" t="str">
        <v>Junior Dev</v>
      </c>
      <c r="B132" t="str">
        <v>Person</v>
      </c>
      <c r="C132">
        <v>2</v>
      </c>
      <c r="D132">
        <f>Assumptions!$B$9/Assumptions!$B$4</f>
        <v>882.297511911064</v>
      </c>
      <c r="E132">
        <f>C132*D132</f>
        <v>1764.595023822128</v>
      </c>
      <c r="F132">
        <f>E132*12</f>
        <v>21175.140285865535</v>
      </c>
      <c r="G132">
        <f>E132*6</f>
        <v>10587.570142932767</v>
      </c>
      <c r="H132" t="str">
        <v/>
      </c>
      <c r="I132">
        <f>E132*Assumptions!$B$4</f>
        <v>166666</v>
      </c>
      <c r="J132">
        <f>F132*Assumptions!$B$4</f>
        <v>1999991.9999999998</v>
      </c>
      <c r="K132">
        <f>G132*Assumptions!$B$4</f>
        <v>999995.9999999999</v>
      </c>
    </row>
    <row r="133">
      <c r="A133" t="str">
        <v>DevOps</v>
      </c>
      <c r="B133" t="str">
        <v>Person</v>
      </c>
      <c r="C133">
        <v>1</v>
      </c>
      <c r="D133">
        <f>Assumptions!$B$13/Assumptions!$B$4</f>
        <v>1941.0587612493382</v>
      </c>
      <c r="E133">
        <f>C133*D133</f>
        <v>1941.0587612493382</v>
      </c>
      <c r="F133">
        <f>E133*12</f>
        <v>23292.70513499206</v>
      </c>
      <c r="G133">
        <f>E133*6</f>
        <v>11646.35256749603</v>
      </c>
      <c r="H133" t="str">
        <v/>
      </c>
      <c r="I133">
        <f>E133*Assumptions!$B$4</f>
        <v>183333</v>
      </c>
      <c r="J133">
        <f>F133*Assumptions!$B$4</f>
        <v>2199996</v>
      </c>
      <c r="K133">
        <f>G133*Assumptions!$B$4</f>
        <v>1099998</v>
      </c>
    </row>
    <row r="134">
      <c r="A134" t="str">
        <v>QA</v>
      </c>
      <c r="B134" t="str">
        <v>Person</v>
      </c>
      <c r="C134">
        <v>1</v>
      </c>
      <c r="D134">
        <f>Assumptions!$B$14/Assumptions!$B$4</f>
        <v>1058.7612493382742</v>
      </c>
      <c r="E134">
        <f>C134*D134</f>
        <v>1058.7612493382742</v>
      </c>
      <c r="F134">
        <f>E134*12</f>
        <v>12705.134992059291</v>
      </c>
      <c r="G134">
        <f>E134*6</f>
        <v>6352.567496029646</v>
      </c>
      <c r="H134" t="str">
        <v/>
      </c>
      <c r="I134">
        <f>E134*Assumptions!$B$4</f>
        <v>100000</v>
      </c>
      <c r="J134">
        <f>F134*Assumptions!$B$4</f>
        <v>1200000</v>
      </c>
      <c r="K134">
        <f>G134*Assumptions!$B$4</f>
        <v>600000</v>
      </c>
    </row>
    <row r="135">
      <c r="A135" t="str">
        <v>Product Manager</v>
      </c>
      <c r="B135" t="str">
        <v>Person</v>
      </c>
      <c r="C135">
        <v>1</v>
      </c>
      <c r="D135">
        <f>Assumptions!$B$15/Assumptions!$B$4</f>
        <v>2470.439385918475</v>
      </c>
      <c r="E135">
        <f>C135*D135</f>
        <v>2470.439385918475</v>
      </c>
      <c r="F135">
        <f>E135*12</f>
        <v>29645.272631021704</v>
      </c>
      <c r="G135">
        <f>E135*6</f>
        <v>14822.636315510852</v>
      </c>
      <c r="H135" t="str">
        <v/>
      </c>
      <c r="I135">
        <f>E135*Assumptions!$B$4</f>
        <v>233333</v>
      </c>
      <c r="J135">
        <f>F135*Assumptions!$B$4</f>
        <v>2799996</v>
      </c>
      <c r="K135">
        <f>G135*Assumptions!$B$4</f>
        <v>1399998</v>
      </c>
    </row>
    <row r="136">
      <c r="A136" t="str">
        <v>Designer</v>
      </c>
      <c r="B136" t="str">
        <v>Person</v>
      </c>
      <c r="C136">
        <v>1</v>
      </c>
      <c r="D136">
        <f>Assumptions!$B$16/Assumptions!$B$4</f>
        <v>1411.6781365802012</v>
      </c>
      <c r="E136">
        <f>C136*D136</f>
        <v>1411.6781365802012</v>
      </c>
      <c r="F136">
        <f>E136*12</f>
        <v>16940.137638962413</v>
      </c>
      <c r="G136">
        <f>E136*6</f>
        <v>8470.068819481206</v>
      </c>
      <c r="H136" t="str">
        <v/>
      </c>
      <c r="I136">
        <f>E136*Assumptions!$B$4</f>
        <v>133333</v>
      </c>
      <c r="J136">
        <f>F136*Assumptions!$B$4</f>
        <v>1599996</v>
      </c>
      <c r="K136">
        <f>G136*Assumptions!$B$4</f>
        <v>799998</v>
      </c>
    </row>
    <row r="137">
      <c r="A137" t="str">
        <v>Home Setup Stipend (per person)</v>
      </c>
      <c r="B137" t="str">
        <v>One-time</v>
      </c>
      <c r="C137">
        <v>11</v>
      </c>
      <c r="D137">
        <v>200</v>
      </c>
      <c r="E137">
        <f>C137*D137</f>
        <v>2200</v>
      </c>
      <c r="F137">
        <f>E137*12</f>
        <v>26400</v>
      </c>
      <c r="G137">
        <f>E137*6</f>
        <v>13200</v>
      </c>
      <c r="H137" t="str">
        <v/>
      </c>
      <c r="I137">
        <f>E137*Assumptions!$B$4</f>
        <v>207790</v>
      </c>
      <c r="J137">
        <f>F137*Assumptions!$B$4</f>
        <v>2493480</v>
      </c>
      <c r="K137">
        <f>G137*Assumptions!$B$4</f>
        <v>1246740</v>
      </c>
    </row>
    <row r="138">
      <c r="A138" t="str">
        <v>Internet Stipend</v>
      </c>
      <c r="B138" t="str">
        <v>Month</v>
      </c>
      <c r="C138">
        <v>1</v>
      </c>
      <c r="D138">
        <v>200</v>
      </c>
      <c r="E138">
        <f>C138*D138</f>
        <v>200</v>
      </c>
      <c r="F138">
        <f>E138*12</f>
        <v>2400</v>
      </c>
      <c r="G138">
        <f>E138*6</f>
        <v>1200</v>
      </c>
      <c r="H138" t="str">
        <v/>
      </c>
      <c r="I138">
        <f>E138*Assumptions!$B$4</f>
        <v>18890</v>
      </c>
      <c r="J138">
        <f>F138*Assumptions!$B$4</f>
        <v>226680</v>
      </c>
      <c r="K138">
        <f>G138*Assumptions!$B$4</f>
        <v>113340</v>
      </c>
    </row>
    <row r="139">
      <c r="A139" t="str">
        <v>Team Subtotal</v>
      </c>
      <c r="B139" t="str">
        <v/>
      </c>
      <c r="C139" t="str">
        <v/>
      </c>
      <c r="D139" t="str">
        <v/>
      </c>
      <c r="E139">
        <f>SUM(E130:E138)</f>
        <v>23928.11011116993</v>
      </c>
      <c r="F139">
        <f>E139*12</f>
        <v>287137.3213340392</v>
      </c>
      <c r="G139">
        <f>E139*6</f>
        <v>143568.6606670196</v>
      </c>
      <c r="H139" t="str">
        <v/>
      </c>
      <c r="I139">
        <f>E139*Assumptions!$B$4</f>
        <v>2260010</v>
      </c>
      <c r="J139">
        <f>F139*Assumptions!$B$4</f>
        <v>27120120.000000004</v>
      </c>
      <c r="K139">
        <f>G139*Assumptions!$B$4</f>
        <v>13560060.000000002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>Customer Acquisition (CAC-based)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New user acquisition (paid + organic, blended)</v>
      </c>
      <c r="B142" t="str">
        <v>New users/mo</v>
      </c>
      <c r="C142">
        <v>833</v>
      </c>
      <c r="D142">
        <f>Assumptions!$B$25</f>
        <v>6</v>
      </c>
      <c r="E142">
        <f>C142*D142</f>
        <v>4998</v>
      </c>
      <c r="F142">
        <f>E142*12</f>
        <v>59976</v>
      </c>
      <c r="G142">
        <f>E142*6</f>
        <v>29988</v>
      </c>
      <c r="H142" t="str">
        <v>5,000 net-new users over Months 13-18 (5,000→10,000) ÷ 6mo = 833/mo net-new × Year 2 blended CAC ($6). Added 2026-09-08 -- previously the CAC stated in the Pitch Deck's unit-economics table was never charged against this cost model.</v>
      </c>
      <c r="I142">
        <f>E142*Assumptions!$B$4</f>
        <v>472061.10000000003</v>
      </c>
      <c r="J142">
        <f>F142*Assumptions!$B$4</f>
        <v>5664733.2</v>
      </c>
      <c r="K142">
        <f>G142*Assumptions!$B$4</f>
        <v>2832366.6</v>
      </c>
    </row>
    <row r="143">
      <c r="A143" t="str">
        <v>Customer Acquisition Subtotal</v>
      </c>
      <c r="B143" t="str">
        <v/>
      </c>
      <c r="C143" t="str">
        <v/>
      </c>
      <c r="D143" t="str">
        <v/>
      </c>
      <c r="E143">
        <f>SUM(E142:E142)</f>
        <v>4998</v>
      </c>
      <c r="F143">
        <f>E143*12</f>
        <v>59976</v>
      </c>
      <c r="G143">
        <f>E143*6</f>
        <v>29988</v>
      </c>
      <c r="H143" t="str">
        <v/>
      </c>
      <c r="I143">
        <f>E143*Assumptions!$B$4</f>
        <v>472061.10000000003</v>
      </c>
      <c r="J143">
        <f>F143*Assumptions!$B$4</f>
        <v>5664733.2</v>
      </c>
      <c r="K143">
        <f>G143*Assumptions!$B$4</f>
        <v>2832366.6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</row>
    <row r="145">
      <c r="A145" t="str">
        <v>Operating Costs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>SaaS Tools (Jira, Slack, etc.)</v>
      </c>
      <c r="B146" t="str">
        <v>Month</v>
      </c>
      <c r="C146">
        <v>1</v>
      </c>
      <c r="D146">
        <v>300</v>
      </c>
      <c r="E146">
        <f>C146*D146</f>
        <v>300</v>
      </c>
      <c r="F146">
        <f>E146*12</f>
        <v>3600</v>
      </c>
      <c r="G146">
        <f>E146*6</f>
        <v>1800</v>
      </c>
      <c r="H146" t="str">
        <v/>
      </c>
      <c r="I146">
        <f>E146*Assumptions!$B$4</f>
        <v>28335</v>
      </c>
      <c r="J146">
        <f>F146*Assumptions!$B$4</f>
        <v>340020</v>
      </c>
      <c r="K146">
        <f>G146*Assumptions!$B$4</f>
        <v>170010</v>
      </c>
    </row>
    <row r="147">
      <c r="A147" t="str">
        <v>DevOps Tools (CI/CD, monitoring)</v>
      </c>
      <c r="B147" t="str">
        <v>Month</v>
      </c>
      <c r="C147">
        <v>1</v>
      </c>
      <c r="D147">
        <v>200</v>
      </c>
      <c r="E147">
        <f>C147*D147</f>
        <v>200</v>
      </c>
      <c r="F147">
        <f>E147*12</f>
        <v>2400</v>
      </c>
      <c r="G147">
        <f>E147*6</f>
        <v>1200</v>
      </c>
      <c r="H147" t="str">
        <v/>
      </c>
      <c r="I147">
        <f>E147*Assumptions!$B$4</f>
        <v>18890</v>
      </c>
      <c r="J147">
        <f>F147*Assumptions!$B$4</f>
        <v>226680</v>
      </c>
      <c r="K147">
        <f>G147*Assumptions!$B$4</f>
        <v>113340</v>
      </c>
    </row>
    <row r="148">
      <c r="A148" t="str">
        <v>Communication &amp; Collaboration</v>
      </c>
      <c r="B148" t="str">
        <v>Month</v>
      </c>
      <c r="C148">
        <v>1</v>
      </c>
      <c r="D148">
        <v>150</v>
      </c>
      <c r="E148">
        <f>C148*D148</f>
        <v>150</v>
      </c>
      <c r="F148">
        <f>E148*12</f>
        <v>1800</v>
      </c>
      <c r="G148">
        <f>E148*6</f>
        <v>900</v>
      </c>
      <c r="H148" t="str">
        <v/>
      </c>
      <c r="I148">
        <f>E148*Assumptions!$B$4</f>
        <v>14167.5</v>
      </c>
      <c r="J148">
        <f>F148*Assumptions!$B$4</f>
        <v>170010</v>
      </c>
      <c r="K148">
        <f>G148*Assumptions!$B$4</f>
        <v>85005</v>
      </c>
    </row>
    <row r="149">
      <c r="A149" t="str">
        <v>Professional Development</v>
      </c>
      <c r="B149" t="str">
        <v>Month</v>
      </c>
      <c r="C149">
        <v>1</v>
      </c>
      <c r="D149">
        <v>200</v>
      </c>
      <c r="E149">
        <f>C149*D149</f>
        <v>200</v>
      </c>
      <c r="F149">
        <f>E149*12</f>
        <v>2400</v>
      </c>
      <c r="G149">
        <f>E149*6</f>
        <v>1200</v>
      </c>
      <c r="H149" t="str">
        <v/>
      </c>
      <c r="I149">
        <f>E149*Assumptions!$B$4</f>
        <v>18890</v>
      </c>
      <c r="J149">
        <f>F149*Assumptions!$B$4</f>
        <v>226680</v>
      </c>
      <c r="K149">
        <f>G149*Assumptions!$B$4</f>
        <v>113340</v>
      </c>
    </row>
    <row r="150">
      <c r="A150" t="str">
        <v>Insurance &amp; Compliance</v>
      </c>
      <c r="B150" t="str">
        <v>Month</v>
      </c>
      <c r="C150">
        <v>1</v>
      </c>
      <c r="D150">
        <v>300</v>
      </c>
      <c r="E150">
        <f>C150*D150</f>
        <v>300</v>
      </c>
      <c r="F150">
        <f>E150*12</f>
        <v>3600</v>
      </c>
      <c r="G150">
        <f>E150*6</f>
        <v>1800</v>
      </c>
      <c r="H150" t="str">
        <v/>
      </c>
      <c r="I150">
        <f>E150*Assumptions!$B$4</f>
        <v>28335</v>
      </c>
      <c r="J150">
        <f>F150*Assumptions!$B$4</f>
        <v>340020</v>
      </c>
      <c r="K150">
        <f>G150*Assumptions!$B$4</f>
        <v>170010</v>
      </c>
    </row>
    <row r="151">
      <c r="A151" t="str">
        <v>Marketing &amp; Community</v>
      </c>
      <c r="B151" t="str">
        <v>Month</v>
      </c>
      <c r="C151">
        <v>1</v>
      </c>
      <c r="D151">
        <v>500</v>
      </c>
      <c r="E151">
        <f>C151*D151</f>
        <v>500</v>
      </c>
      <c r="F151">
        <f>E151*12</f>
        <v>6000</v>
      </c>
      <c r="G151">
        <f>E151*6</f>
        <v>3000</v>
      </c>
      <c r="H151" t="str">
        <v/>
      </c>
      <c r="I151">
        <f>E151*Assumptions!$B$4</f>
        <v>47225</v>
      </c>
      <c r="J151">
        <f>F151*Assumptions!$B$4</f>
        <v>566700</v>
      </c>
      <c r="K151">
        <f>G151*Assumptions!$B$4</f>
        <v>283350</v>
      </c>
    </row>
    <row r="152">
      <c r="A152" t="str">
        <v>Operating Subtotal</v>
      </c>
      <c r="B152" t="str">
        <v/>
      </c>
      <c r="C152" t="str">
        <v/>
      </c>
      <c r="D152" t="str">
        <v/>
      </c>
      <c r="E152">
        <f>SUM(E146:E151)</f>
        <v>1650</v>
      </c>
      <c r="F152">
        <f>E152*12</f>
        <v>19800</v>
      </c>
      <c r="G152">
        <f>E152*6</f>
        <v>9900</v>
      </c>
      <c r="H152" t="str">
        <v/>
      </c>
      <c r="I152">
        <f>E152*Assumptions!$B$4</f>
        <v>155842.5</v>
      </c>
      <c r="J152">
        <f>F152*Assumptions!$B$4</f>
        <v>1870110</v>
      </c>
      <c r="K152">
        <f>G152*Assumptions!$B$4</f>
        <v>935055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TOTAL MONTHLY COST</v>
      </c>
      <c r="B154" t="str">
        <v/>
      </c>
      <c r="C154" t="str">
        <v/>
      </c>
      <c r="D154" t="str">
        <v/>
      </c>
      <c r="E154">
        <f>E127+E139+E143+E152</f>
        <v>33526.11011116993</v>
      </c>
      <c r="F154">
        <f>E154*12</f>
        <v>402313.3213340392</v>
      </c>
      <c r="G154">
        <f>E154*6</f>
        <v>201156.6606670196</v>
      </c>
      <c r="H154" t="str">
        <v/>
      </c>
      <c r="I154">
        <f>E154*Assumptions!$B$4</f>
        <v>3166541.1</v>
      </c>
      <c r="J154">
        <f>F154*Assumptions!$B$4</f>
        <v>37998493.2</v>
      </c>
      <c r="K154">
        <f>G154*Assumptions!$B$4</f>
        <v>18999246.6</v>
      </c>
    </row>
    <row r="155">
      <c r="A155" t="str">
        <v>Cost per User (Monthly)</v>
      </c>
      <c r="B155" t="str">
        <v/>
      </c>
      <c r="C155" t="str">
        <v/>
      </c>
      <c r="D155" t="str">
        <v/>
      </c>
      <c r="E155">
        <f>E154/10000</f>
        <v>3.352611011116993</v>
      </c>
      <c r="F155" t="str">
        <v/>
      </c>
      <c r="G155" t="str">
        <v/>
      </c>
      <c r="H155" t="str">
        <v/>
      </c>
      <c r="I155">
        <f>E155*Assumptions!$B$4</f>
        <v>316.65411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Month 24 — 25,000 Users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Category</v>
      </c>
      <c r="B159" t="str">
        <v>Unit</v>
      </c>
      <c r="C159" t="str">
        <v>Quantity</v>
      </c>
      <c r="D159" t="str">
        <v>Unit Cost (USD)</v>
      </c>
      <c r="E159" t="str">
        <v>Monthly Cost (USD)</v>
      </c>
      <c r="F159" t="str">
        <v>Annual Cost (USD)</v>
      </c>
      <c r="G159" t="str">
        <v>6-Month Cost (USD)</v>
      </c>
      <c r="H159" t="str">
        <v>Notes</v>
      </c>
      <c r="I159" t="str">
        <v>Monthly Cost (INR)</v>
      </c>
      <c r="J159" t="str">
        <v>Annual Cost (INR)</v>
      </c>
      <c r="K159" t="str">
        <v>6-Month Cost (INR)</v>
      </c>
    </row>
    <row r="160">
      <c r="A160" t="str">
        <v>AWS Infrastructure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compute</v>
      </c>
      <c r="B161" t="str">
        <v>Month</v>
      </c>
      <c r="C161">
        <v>1</v>
      </c>
      <c r="D161">
        <v>2500</v>
      </c>
      <c r="E161">
        <f>C161*D161</f>
        <v>2500</v>
      </c>
      <c r="F161">
        <f>E161*12</f>
        <v>30000</v>
      </c>
      <c r="G161">
        <f>E161*6</f>
        <v>15000</v>
      </c>
      <c r="H161" t="str">
        <v/>
      </c>
      <c r="I161">
        <f>E161*Assumptions!$B$4</f>
        <v>236125</v>
      </c>
      <c r="J161">
        <f>F161*Assumptions!$B$4</f>
        <v>2833500</v>
      </c>
      <c r="K161">
        <f>G161*Assumptions!$B$4</f>
        <v>1416750</v>
      </c>
    </row>
    <row r="162">
      <c r="A162" t="str">
        <v>database</v>
      </c>
      <c r="B162" t="str">
        <v>Month</v>
      </c>
      <c r="C162">
        <v>1</v>
      </c>
      <c r="D162">
        <v>1800</v>
      </c>
      <c r="E162">
        <f>C162*D162</f>
        <v>1800</v>
      </c>
      <c r="F162">
        <f>E162*12</f>
        <v>21600</v>
      </c>
      <c r="G162">
        <f>E162*6</f>
        <v>10800</v>
      </c>
      <c r="H162" t="str">
        <v/>
      </c>
      <c r="I162">
        <f>E162*Assumptions!$B$4</f>
        <v>170010</v>
      </c>
      <c r="J162">
        <f>F162*Assumptions!$B$4</f>
        <v>2040120</v>
      </c>
      <c r="K162">
        <f>G162*Assumptions!$B$4</f>
        <v>1020060</v>
      </c>
    </row>
    <row r="163">
      <c r="A163" t="str">
        <v>storage</v>
      </c>
      <c r="B163" t="str">
        <v>Month</v>
      </c>
      <c r="C163">
        <v>1</v>
      </c>
      <c r="D163">
        <v>600</v>
      </c>
      <c r="E163">
        <f>C163*D163</f>
        <v>600</v>
      </c>
      <c r="F163">
        <f>E163*12</f>
        <v>7200</v>
      </c>
      <c r="G163">
        <f>E163*6</f>
        <v>3600</v>
      </c>
      <c r="H163" t="str">
        <v/>
      </c>
      <c r="I163">
        <f>E163*Assumptions!$B$4</f>
        <v>56670</v>
      </c>
      <c r="J163">
        <f>F163*Assumptions!$B$4</f>
        <v>680040</v>
      </c>
      <c r="K163">
        <f>G163*Assumptions!$B$4</f>
        <v>340020</v>
      </c>
    </row>
    <row r="164">
      <c r="A164" t="str">
        <v>networking</v>
      </c>
      <c r="B164" t="str">
        <v>Month</v>
      </c>
      <c r="C164">
        <v>1</v>
      </c>
      <c r="D164">
        <v>400</v>
      </c>
      <c r="E164">
        <f>C164*D164</f>
        <v>400</v>
      </c>
      <c r="F164">
        <f>E164*12</f>
        <v>4800</v>
      </c>
      <c r="G164">
        <f>E164*6</f>
        <v>2400</v>
      </c>
      <c r="H164" t="str">
        <v/>
      </c>
      <c r="I164">
        <f>E164*Assumptions!$B$4</f>
        <v>37780</v>
      </c>
      <c r="J164">
        <f>F164*Assumptions!$B$4</f>
        <v>453360</v>
      </c>
      <c r="K164">
        <f>G164*Assumptions!$B$4</f>
        <v>226680</v>
      </c>
    </row>
    <row r="165">
      <c r="A165" t="str">
        <v>data_transfer</v>
      </c>
      <c r="B165" t="str">
        <v>Month</v>
      </c>
      <c r="C165">
        <v>1</v>
      </c>
      <c r="D165">
        <v>500</v>
      </c>
      <c r="E165">
        <f>C165*D165</f>
        <v>500</v>
      </c>
      <c r="F165">
        <f>E165*12</f>
        <v>6000</v>
      </c>
      <c r="G165">
        <f>E165*6</f>
        <v>3000</v>
      </c>
      <c r="H165" t="str">
        <v/>
      </c>
      <c r="I165">
        <f>E165*Assumptions!$B$4</f>
        <v>47225</v>
      </c>
      <c r="J165">
        <f>F165*Assumptions!$B$4</f>
        <v>566700</v>
      </c>
      <c r="K165">
        <f>G165*Assumptions!$B$4</f>
        <v>283350</v>
      </c>
    </row>
    <row r="166">
      <c r="A166" t="str">
        <v>monitoring</v>
      </c>
      <c r="B166" t="str">
        <v>Month</v>
      </c>
      <c r="C166">
        <v>1</v>
      </c>
      <c r="D166">
        <v>150</v>
      </c>
      <c r="E166">
        <f>C166*D166</f>
        <v>150</v>
      </c>
      <c r="F166">
        <f>E166*12</f>
        <v>1800</v>
      </c>
      <c r="G166">
        <f>E166*6</f>
        <v>900</v>
      </c>
      <c r="H166" t="str">
        <v/>
      </c>
      <c r="I166">
        <f>E166*Assumptions!$B$4</f>
        <v>14167.5</v>
      </c>
      <c r="J166">
        <f>F166*Assumptions!$B$4</f>
        <v>170010</v>
      </c>
      <c r="K166">
        <f>G166*Assumptions!$B$4</f>
        <v>85005</v>
      </c>
    </row>
    <row r="167">
      <c r="A167" t="str">
        <v>backups</v>
      </c>
      <c r="B167" t="str">
        <v>Month</v>
      </c>
      <c r="C167">
        <v>1</v>
      </c>
      <c r="D167">
        <v>250</v>
      </c>
      <c r="E167">
        <f>C167*D167</f>
        <v>250</v>
      </c>
      <c r="F167">
        <f>E167*12</f>
        <v>3000</v>
      </c>
      <c r="G167">
        <f>E167*6</f>
        <v>1500</v>
      </c>
      <c r="H167" t="str">
        <v/>
      </c>
      <c r="I167">
        <f>E167*Assumptions!$B$4</f>
        <v>23612.5</v>
      </c>
      <c r="J167">
        <f>F167*Assumptions!$B$4</f>
        <v>283350</v>
      </c>
      <c r="K167">
        <f>G167*Assumptions!$B$4</f>
        <v>141675</v>
      </c>
    </row>
    <row r="168">
      <c r="A168" t="str">
        <v>AWS Subtotal</v>
      </c>
      <c r="B168" t="str">
        <v/>
      </c>
      <c r="C168" t="str">
        <v/>
      </c>
      <c r="D168" t="str">
        <v/>
      </c>
      <c r="E168">
        <f>SUM(E161:E167)</f>
        <v>6200</v>
      </c>
      <c r="F168">
        <f>E168*12</f>
        <v>74400</v>
      </c>
      <c r="G168">
        <f>E168*6</f>
        <v>37200</v>
      </c>
      <c r="H168" t="str">
        <v/>
      </c>
      <c r="I168">
        <f>E168*Assumptions!$B$4</f>
        <v>585590</v>
      </c>
      <c r="J168">
        <f>F168*Assumptions!$B$4</f>
        <v>7027080</v>
      </c>
      <c r="K168">
        <f>G168*Assumptions!$B$4</f>
        <v>3513540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>Engineering Team (India-based)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Senior Dev</v>
      </c>
      <c r="B171" t="str">
        <v>Person</v>
      </c>
      <c r="C171">
        <v>3</v>
      </c>
      <c r="D171">
        <f>Assumptions!$B$11/Assumptions!$B$4</f>
        <v>3529.2006352567496</v>
      </c>
      <c r="E171">
        <f>C171*D171</f>
        <v>10587.601905770249</v>
      </c>
      <c r="F171">
        <f>E171*12</f>
        <v>127051.22286924298</v>
      </c>
      <c r="G171">
        <f>E171*6</f>
        <v>63525.61143462149</v>
      </c>
      <c r="H171" t="str">
        <v/>
      </c>
      <c r="I171">
        <f>E171*Assumptions!$B$4</f>
        <v>999999</v>
      </c>
      <c r="J171">
        <f>F171*Assumptions!$B$4</f>
        <v>11999988</v>
      </c>
      <c r="K171">
        <f>G171*Assumptions!$B$4</f>
        <v>5999994</v>
      </c>
    </row>
    <row r="172">
      <c r="A172" t="str">
        <v>Mid-level Dev</v>
      </c>
      <c r="B172" t="str">
        <v>Person</v>
      </c>
      <c r="C172">
        <v>4</v>
      </c>
      <c r="D172">
        <f>Assumptions!$B$10/Assumptions!$B$4</f>
        <v>1941.0587612493382</v>
      </c>
      <c r="E172">
        <f>C172*D172</f>
        <v>7764.235044997353</v>
      </c>
      <c r="F172">
        <f>E172*12</f>
        <v>93170.82053996823</v>
      </c>
      <c r="G172">
        <f>E172*6</f>
        <v>46585.41026998412</v>
      </c>
      <c r="H172" t="str">
        <v/>
      </c>
      <c r="I172">
        <f>E172*Assumptions!$B$4</f>
        <v>733332</v>
      </c>
      <c r="J172">
        <f>F172*Assumptions!$B$4</f>
        <v>8799984</v>
      </c>
      <c r="K172">
        <f>G172*Assumptions!$B$4</f>
        <v>4399992</v>
      </c>
    </row>
    <row r="173">
      <c r="A173" t="str">
        <v>Junior Dev</v>
      </c>
      <c r="B173" t="str">
        <v>Person</v>
      </c>
      <c r="C173">
        <v>3</v>
      </c>
      <c r="D173">
        <f>Assumptions!$B$9/Assumptions!$B$4</f>
        <v>882.297511911064</v>
      </c>
      <c r="E173">
        <f>C173*D173</f>
        <v>2646.892535733192</v>
      </c>
      <c r="F173">
        <f>E173*12</f>
        <v>31762.710428798302</v>
      </c>
      <c r="G173">
        <f>E173*6</f>
        <v>15881.355214399151</v>
      </c>
      <c r="H173" t="str">
        <v/>
      </c>
      <c r="I173">
        <f>E173*Assumptions!$B$4</f>
        <v>249998.99999999997</v>
      </c>
      <c r="J173">
        <f>F173*Assumptions!$B$4</f>
        <v>2999987.9999999995</v>
      </c>
      <c r="K173">
        <f>G173*Assumptions!$B$4</f>
        <v>1499993.9999999998</v>
      </c>
    </row>
    <row r="174">
      <c r="A174" t="str">
        <v>DevOps</v>
      </c>
      <c r="B174" t="str">
        <v>Person</v>
      </c>
      <c r="C174">
        <v>2</v>
      </c>
      <c r="D174">
        <f>Assumptions!$B$13/Assumptions!$B$4</f>
        <v>1941.0587612493382</v>
      </c>
      <c r="E174">
        <f>C174*D174</f>
        <v>3882.1175224986764</v>
      </c>
      <c r="F174">
        <f>E174*12</f>
        <v>46585.41026998412</v>
      </c>
      <c r="G174">
        <f>E174*6</f>
        <v>23292.70513499206</v>
      </c>
      <c r="H174" t="str">
        <v/>
      </c>
      <c r="I174">
        <f>E174*Assumptions!$B$4</f>
        <v>366666</v>
      </c>
      <c r="J174">
        <f>F174*Assumptions!$B$4</f>
        <v>4399992</v>
      </c>
      <c r="K174">
        <f>G174*Assumptions!$B$4</f>
        <v>2199996</v>
      </c>
    </row>
    <row r="175">
      <c r="A175" t="str">
        <v>QA</v>
      </c>
      <c r="B175" t="str">
        <v>Person</v>
      </c>
      <c r="C175">
        <v>2</v>
      </c>
      <c r="D175">
        <f>Assumptions!$B$14/Assumptions!$B$4</f>
        <v>1058.7612493382742</v>
      </c>
      <c r="E175">
        <f>C175*D175</f>
        <v>2117.5224986765484</v>
      </c>
      <c r="F175">
        <f>E175*12</f>
        <v>25410.269984118582</v>
      </c>
      <c r="G175">
        <f>E175*6</f>
        <v>12705.134992059291</v>
      </c>
      <c r="H175" t="str">
        <v/>
      </c>
      <c r="I175">
        <f>E175*Assumptions!$B$4</f>
        <v>200000</v>
      </c>
      <c r="J175">
        <f>F175*Assumptions!$B$4</f>
        <v>2400000</v>
      </c>
      <c r="K175">
        <f>G175*Assumptions!$B$4</f>
        <v>1200000</v>
      </c>
    </row>
    <row r="176">
      <c r="A176" t="str">
        <v>Product Manager</v>
      </c>
      <c r="B176" t="str">
        <v>Person</v>
      </c>
      <c r="C176">
        <v>1</v>
      </c>
      <c r="D176">
        <f>Assumptions!$B$15/Assumptions!$B$4</f>
        <v>2470.439385918475</v>
      </c>
      <c r="E176">
        <f>C176*D176</f>
        <v>2470.439385918475</v>
      </c>
      <c r="F176">
        <f>E176*12</f>
        <v>29645.272631021704</v>
      </c>
      <c r="G176">
        <f>E176*6</f>
        <v>14822.636315510852</v>
      </c>
      <c r="H176" t="str">
        <v/>
      </c>
      <c r="I176">
        <f>E176*Assumptions!$B$4</f>
        <v>233333</v>
      </c>
      <c r="J176">
        <f>F176*Assumptions!$B$4</f>
        <v>2799996</v>
      </c>
      <c r="K176">
        <f>G176*Assumptions!$B$4</f>
        <v>1399998</v>
      </c>
    </row>
    <row r="177">
      <c r="A177" t="str">
        <v>Designer</v>
      </c>
      <c r="B177" t="str">
        <v>Person</v>
      </c>
      <c r="C177">
        <v>1</v>
      </c>
      <c r="D177">
        <f>Assumptions!$B$16/Assumptions!$B$4</f>
        <v>1411.6781365802012</v>
      </c>
      <c r="E177">
        <f>C177*D177</f>
        <v>1411.6781365802012</v>
      </c>
      <c r="F177">
        <f>E177*12</f>
        <v>16940.137638962413</v>
      </c>
      <c r="G177">
        <f>E177*6</f>
        <v>8470.068819481206</v>
      </c>
      <c r="H177" t="str">
        <v/>
      </c>
      <c r="I177">
        <f>E177*Assumptions!$B$4</f>
        <v>133333</v>
      </c>
      <c r="J177">
        <f>F177*Assumptions!$B$4</f>
        <v>1599996</v>
      </c>
      <c r="K177">
        <f>G177*Assumptions!$B$4</f>
        <v>799998</v>
      </c>
    </row>
    <row r="178">
      <c r="A178" t="str">
        <v>Tech Lead</v>
      </c>
      <c r="B178" t="str">
        <v>Person</v>
      </c>
      <c r="C178">
        <v>1</v>
      </c>
      <c r="D178">
        <f>Assumptions!$B$12/Assumptions!$B$4</f>
        <v>4852.652196929592</v>
      </c>
      <c r="E178">
        <f>C178*D178</f>
        <v>4852.652196929592</v>
      </c>
      <c r="F178">
        <f>E178*12</f>
        <v>58231.8263631551</v>
      </c>
      <c r="G178">
        <f>E178*6</f>
        <v>29115.91318157755</v>
      </c>
      <c r="H178" t="str">
        <v/>
      </c>
      <c r="I178">
        <f>E178*Assumptions!$B$4</f>
        <v>458332.99999999994</v>
      </c>
      <c r="J178">
        <f>F178*Assumptions!$B$4</f>
        <v>5499995.999999999</v>
      </c>
      <c r="K178">
        <f>G178*Assumptions!$B$4</f>
        <v>2749997.9999999995</v>
      </c>
    </row>
    <row r="179">
      <c r="A179" t="str">
        <v>Home Setup Stipend (per person)</v>
      </c>
      <c r="B179" t="str">
        <v>One-time</v>
      </c>
      <c r="C179">
        <v>17</v>
      </c>
      <c r="D179">
        <v>200</v>
      </c>
      <c r="E179">
        <f>C179*D179</f>
        <v>3400</v>
      </c>
      <c r="F179">
        <f>E179*12</f>
        <v>40800</v>
      </c>
      <c r="G179">
        <f>E179*6</f>
        <v>20400</v>
      </c>
      <c r="H179" t="str">
        <v/>
      </c>
      <c r="I179">
        <f>E179*Assumptions!$B$4</f>
        <v>321130</v>
      </c>
      <c r="J179">
        <f>F179*Assumptions!$B$4</f>
        <v>3853560</v>
      </c>
      <c r="K179">
        <f>G179*Assumptions!$B$4</f>
        <v>1926780</v>
      </c>
    </row>
    <row r="180">
      <c r="A180" t="str">
        <v>Internet Stipend</v>
      </c>
      <c r="B180" t="str">
        <v>Month</v>
      </c>
      <c r="C180">
        <v>1</v>
      </c>
      <c r="D180">
        <v>200</v>
      </c>
      <c r="E180">
        <f>C180*D180</f>
        <v>200</v>
      </c>
      <c r="F180">
        <f>E180*12</f>
        <v>2400</v>
      </c>
      <c r="G180">
        <f>E180*6</f>
        <v>1200</v>
      </c>
      <c r="H180" t="str">
        <v/>
      </c>
      <c r="I180">
        <f>E180*Assumptions!$B$4</f>
        <v>18890</v>
      </c>
      <c r="J180">
        <f>F180*Assumptions!$B$4</f>
        <v>226680</v>
      </c>
      <c r="K180">
        <f>G180*Assumptions!$B$4</f>
        <v>113340</v>
      </c>
    </row>
    <row r="181">
      <c r="A181" t="str">
        <v>Team Subtotal</v>
      </c>
      <c r="B181" t="str">
        <v/>
      </c>
      <c r="C181" t="str">
        <v/>
      </c>
      <c r="D181" t="str">
        <v/>
      </c>
      <c r="E181">
        <f>SUM(E171:E180)</f>
        <v>39333.139227104286</v>
      </c>
      <c r="F181">
        <f>E181*12</f>
        <v>471997.67072525143</v>
      </c>
      <c r="G181">
        <f>E181*6</f>
        <v>235998.83536262572</v>
      </c>
      <c r="H181" t="str">
        <v/>
      </c>
      <c r="I181">
        <f>E181*Assumptions!$B$4</f>
        <v>3715015</v>
      </c>
      <c r="J181">
        <f>F181*Assumptions!$B$4</f>
        <v>44580180</v>
      </c>
      <c r="K181">
        <f>G181*Assumptions!$B$4</f>
        <v>22290090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>Customer Acquisition (CAC-based)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</row>
    <row r="184">
      <c r="A184" t="str">
        <v>New user acquisition (paid + organic, blended)</v>
      </c>
      <c r="B184" t="str">
        <v>New users/mo</v>
      </c>
      <c r="C184">
        <v>2500</v>
      </c>
      <c r="D184">
        <f>Assumptions!$B$25</f>
        <v>6</v>
      </c>
      <c r="E184">
        <f>C184*D184</f>
        <v>15000</v>
      </c>
      <c r="F184">
        <f>E184*12</f>
        <v>180000</v>
      </c>
      <c r="G184">
        <f>E184*6</f>
        <v>90000</v>
      </c>
      <c r="H184" t="str">
        <v>15,000 net-new users over Months 19-24 (10,000→25,000) ÷ 6mo = 2,500/mo net-new × Year 2 blended CAC ($6). Added 2026-09-08 -- previously the CAC stated in the Pitch Deck's unit-economics table was never charged against this cost model.</v>
      </c>
      <c r="I184">
        <f>E184*Assumptions!$B$4</f>
        <v>1416750</v>
      </c>
      <c r="J184">
        <f>F184*Assumptions!$B$4</f>
        <v>17001000</v>
      </c>
      <c r="K184">
        <f>G184*Assumptions!$B$4</f>
        <v>8500500</v>
      </c>
    </row>
    <row r="185">
      <c r="A185" t="str">
        <v>Customer Acquisition Subtotal</v>
      </c>
      <c r="B185" t="str">
        <v/>
      </c>
      <c r="C185" t="str">
        <v/>
      </c>
      <c r="D185" t="str">
        <v/>
      </c>
      <c r="E185">
        <f>SUM(E184:E184)</f>
        <v>15000</v>
      </c>
      <c r="F185">
        <f>E185*12</f>
        <v>180000</v>
      </c>
      <c r="G185">
        <f>E185*6</f>
        <v>90000</v>
      </c>
      <c r="H185" t="str">
        <v/>
      </c>
      <c r="I185">
        <f>E185*Assumptions!$B$4</f>
        <v>1416750</v>
      </c>
      <c r="J185">
        <f>F185*Assumptions!$B$4</f>
        <v>17001000</v>
      </c>
      <c r="K185">
        <f>G185*Assumptions!$B$4</f>
        <v>8500500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>Operating Costs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SaaS Tools (Jira, Slack, etc.)</v>
      </c>
      <c r="B188" t="str">
        <v>Month</v>
      </c>
      <c r="C188">
        <v>1</v>
      </c>
      <c r="D188">
        <v>300</v>
      </c>
      <c r="E188">
        <f>C188*D188</f>
        <v>300</v>
      </c>
      <c r="F188">
        <f>E188*12</f>
        <v>3600</v>
      </c>
      <c r="G188">
        <f>E188*6</f>
        <v>1800</v>
      </c>
      <c r="H188" t="str">
        <v/>
      </c>
      <c r="I188">
        <f>E188*Assumptions!$B$4</f>
        <v>28335</v>
      </c>
      <c r="J188">
        <f>F188*Assumptions!$B$4</f>
        <v>340020</v>
      </c>
      <c r="K188">
        <f>G188*Assumptions!$B$4</f>
        <v>170010</v>
      </c>
    </row>
    <row r="189">
      <c r="A189" t="str">
        <v>DevOps Tools (CI/CD, monitoring)</v>
      </c>
      <c r="B189" t="str">
        <v>Month</v>
      </c>
      <c r="C189">
        <v>1</v>
      </c>
      <c r="D189">
        <v>200</v>
      </c>
      <c r="E189">
        <f>C189*D189</f>
        <v>200</v>
      </c>
      <c r="F189">
        <f>E189*12</f>
        <v>2400</v>
      </c>
      <c r="G189">
        <f>E189*6</f>
        <v>1200</v>
      </c>
      <c r="H189" t="str">
        <v/>
      </c>
      <c r="I189">
        <f>E189*Assumptions!$B$4</f>
        <v>18890</v>
      </c>
      <c r="J189">
        <f>F189*Assumptions!$B$4</f>
        <v>226680</v>
      </c>
      <c r="K189">
        <f>G189*Assumptions!$B$4</f>
        <v>113340</v>
      </c>
    </row>
    <row r="190">
      <c r="A190" t="str">
        <v>Communication &amp; Collaboration</v>
      </c>
      <c r="B190" t="str">
        <v>Month</v>
      </c>
      <c r="C190">
        <v>1</v>
      </c>
      <c r="D190">
        <v>150</v>
      </c>
      <c r="E190">
        <f>C190*D190</f>
        <v>150</v>
      </c>
      <c r="F190">
        <f>E190*12</f>
        <v>1800</v>
      </c>
      <c r="G190">
        <f>E190*6</f>
        <v>900</v>
      </c>
      <c r="H190" t="str">
        <v/>
      </c>
      <c r="I190">
        <f>E190*Assumptions!$B$4</f>
        <v>14167.5</v>
      </c>
      <c r="J190">
        <f>F190*Assumptions!$B$4</f>
        <v>170010</v>
      </c>
      <c r="K190">
        <f>G190*Assumptions!$B$4</f>
        <v>85005</v>
      </c>
    </row>
    <row r="191">
      <c r="A191" t="str">
        <v>Professional Development</v>
      </c>
      <c r="B191" t="str">
        <v>Month</v>
      </c>
      <c r="C191">
        <v>1</v>
      </c>
      <c r="D191">
        <v>200</v>
      </c>
      <c r="E191">
        <f>C191*D191</f>
        <v>200</v>
      </c>
      <c r="F191">
        <f>E191*12</f>
        <v>2400</v>
      </c>
      <c r="G191">
        <f>E191*6</f>
        <v>1200</v>
      </c>
      <c r="H191" t="str">
        <v/>
      </c>
      <c r="I191">
        <f>E191*Assumptions!$B$4</f>
        <v>18890</v>
      </c>
      <c r="J191">
        <f>F191*Assumptions!$B$4</f>
        <v>226680</v>
      </c>
      <c r="K191">
        <f>G191*Assumptions!$B$4</f>
        <v>113340</v>
      </c>
    </row>
    <row r="192">
      <c r="A192" t="str">
        <v>Insurance &amp; Compliance</v>
      </c>
      <c r="B192" t="str">
        <v>Month</v>
      </c>
      <c r="C192">
        <v>1</v>
      </c>
      <c r="D192">
        <v>300</v>
      </c>
      <c r="E192">
        <f>C192*D192</f>
        <v>300</v>
      </c>
      <c r="F192">
        <f>E192*12</f>
        <v>3600</v>
      </c>
      <c r="G192">
        <f>E192*6</f>
        <v>1800</v>
      </c>
      <c r="H192" t="str">
        <v/>
      </c>
      <c r="I192">
        <f>E192*Assumptions!$B$4</f>
        <v>28335</v>
      </c>
      <c r="J192">
        <f>F192*Assumptions!$B$4</f>
        <v>340020</v>
      </c>
      <c r="K192">
        <f>G192*Assumptions!$B$4</f>
        <v>170010</v>
      </c>
    </row>
    <row r="193">
      <c r="A193" t="str">
        <v>Marketing &amp; Community</v>
      </c>
      <c r="B193" t="str">
        <v>Month</v>
      </c>
      <c r="C193">
        <v>1</v>
      </c>
      <c r="D193">
        <v>500</v>
      </c>
      <c r="E193">
        <f>C193*D193</f>
        <v>500</v>
      </c>
      <c r="F193">
        <f>E193*12</f>
        <v>6000</v>
      </c>
      <c r="G193">
        <f>E193*6</f>
        <v>3000</v>
      </c>
      <c r="H193" t="str">
        <v/>
      </c>
      <c r="I193">
        <f>E193*Assumptions!$B$4</f>
        <v>47225</v>
      </c>
      <c r="J193">
        <f>F193*Assumptions!$B$4</f>
        <v>566700</v>
      </c>
      <c r="K193">
        <f>G193*Assumptions!$B$4</f>
        <v>283350</v>
      </c>
    </row>
    <row r="194">
      <c r="A194" t="str">
        <v>Operating Subtotal</v>
      </c>
      <c r="B194" t="str">
        <v/>
      </c>
      <c r="C194" t="str">
        <v/>
      </c>
      <c r="D194" t="str">
        <v/>
      </c>
      <c r="E194">
        <f>SUM(E188:E193)</f>
        <v>1650</v>
      </c>
      <c r="F194">
        <f>E194*12</f>
        <v>19800</v>
      </c>
      <c r="G194">
        <f>E194*6</f>
        <v>9900</v>
      </c>
      <c r="H194" t="str">
        <v/>
      </c>
      <c r="I194">
        <f>E194*Assumptions!$B$4</f>
        <v>155842.5</v>
      </c>
      <c r="J194">
        <f>F194*Assumptions!$B$4</f>
        <v>1870110</v>
      </c>
      <c r="K194">
        <f>G194*Assumptions!$B$4</f>
        <v>935055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>TOTAL MONTHLY COST</v>
      </c>
      <c r="B196" t="str">
        <v/>
      </c>
      <c r="C196" t="str">
        <v/>
      </c>
      <c r="D196" t="str">
        <v/>
      </c>
      <c r="E196">
        <f>E168+E181+E185+E194</f>
        <v>62183.139227104286</v>
      </c>
      <c r="F196">
        <f>E196*12</f>
        <v>746197.6707252514</v>
      </c>
      <c r="G196">
        <f>E196*6</f>
        <v>373098.8353626257</v>
      </c>
      <c r="H196" t="str">
        <v/>
      </c>
      <c r="I196">
        <f>E196*Assumptions!$B$4</f>
        <v>5873197.5</v>
      </c>
      <c r="J196">
        <f>F196*Assumptions!$B$4</f>
        <v>70478370</v>
      </c>
      <c r="K196">
        <f>G196*Assumptions!$B$4</f>
        <v>35239185</v>
      </c>
    </row>
    <row r="197">
      <c r="A197" t="str">
        <v>Cost per User (Monthly)</v>
      </c>
      <c r="B197" t="str">
        <v/>
      </c>
      <c r="C197" t="str">
        <v/>
      </c>
      <c r="D197" t="str">
        <v/>
      </c>
      <c r="E197">
        <f>E196/25000</f>
        <v>2.4873255690841716</v>
      </c>
      <c r="F197" t="str">
        <v/>
      </c>
      <c r="G197" t="str">
        <v/>
      </c>
      <c r="H197" t="str">
        <v/>
      </c>
      <c r="I197">
        <f>E197*Assumptions!$B$4</f>
        <v>234.92790000000002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>Month 30 — 50,000 Users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>Category</v>
      </c>
      <c r="B201" t="str">
        <v>Unit</v>
      </c>
      <c r="C201" t="str">
        <v>Quantity</v>
      </c>
      <c r="D201" t="str">
        <v>Unit Cost (USD)</v>
      </c>
      <c r="E201" t="str">
        <v>Monthly Cost (USD)</v>
      </c>
      <c r="F201" t="str">
        <v>Annual Cost (USD)</v>
      </c>
      <c r="G201" t="str">
        <v>6-Month Cost (USD)</v>
      </c>
      <c r="H201" t="str">
        <v>Notes</v>
      </c>
      <c r="I201" t="str">
        <v>Monthly Cost (INR)</v>
      </c>
      <c r="J201" t="str">
        <v>Annual Cost (INR)</v>
      </c>
      <c r="K201" t="str">
        <v>6-Month Cost (INR)</v>
      </c>
    </row>
    <row r="202">
      <c r="A202" t="str">
        <v>AWS Infrastructure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>compute</v>
      </c>
      <c r="B203" t="str">
        <v>Month</v>
      </c>
      <c r="C203">
        <v>1</v>
      </c>
      <c r="D203">
        <v>4500</v>
      </c>
      <c r="E203">
        <f>C203*D203</f>
        <v>4500</v>
      </c>
      <c r="F203">
        <f>E203*12</f>
        <v>54000</v>
      </c>
      <c r="G203">
        <f>E203*6</f>
        <v>27000</v>
      </c>
      <c r="H203" t="str">
        <v/>
      </c>
      <c r="I203">
        <f>E203*Assumptions!$B$4</f>
        <v>425025</v>
      </c>
      <c r="J203">
        <f>F203*Assumptions!$B$4</f>
        <v>5100300</v>
      </c>
      <c r="K203">
        <f>G203*Assumptions!$B$4</f>
        <v>2550150</v>
      </c>
    </row>
    <row r="204">
      <c r="A204" t="str">
        <v>database</v>
      </c>
      <c r="B204" t="str">
        <v>Month</v>
      </c>
      <c r="C204">
        <v>1</v>
      </c>
      <c r="D204">
        <v>3200</v>
      </c>
      <c r="E204">
        <f>C204*D204</f>
        <v>3200</v>
      </c>
      <c r="F204">
        <f>E204*12</f>
        <v>38400</v>
      </c>
      <c r="G204">
        <f>E204*6</f>
        <v>19200</v>
      </c>
      <c r="H204" t="str">
        <v/>
      </c>
      <c r="I204">
        <f>E204*Assumptions!$B$4</f>
        <v>302240</v>
      </c>
      <c r="J204">
        <f>F204*Assumptions!$B$4</f>
        <v>3626880</v>
      </c>
      <c r="K204">
        <f>G204*Assumptions!$B$4</f>
        <v>1813440</v>
      </c>
    </row>
    <row r="205">
      <c r="A205" t="str">
        <v>storage</v>
      </c>
      <c r="B205" t="str">
        <v>Month</v>
      </c>
      <c r="C205">
        <v>1</v>
      </c>
      <c r="D205">
        <v>1000</v>
      </c>
      <c r="E205">
        <f>C205*D205</f>
        <v>1000</v>
      </c>
      <c r="F205">
        <f>E205*12</f>
        <v>12000</v>
      </c>
      <c r="G205">
        <f>E205*6</f>
        <v>6000</v>
      </c>
      <c r="H205" t="str">
        <v/>
      </c>
      <c r="I205">
        <f>E205*Assumptions!$B$4</f>
        <v>94450</v>
      </c>
      <c r="J205">
        <f>F205*Assumptions!$B$4</f>
        <v>1133400</v>
      </c>
      <c r="K205">
        <f>G205*Assumptions!$B$4</f>
        <v>566700</v>
      </c>
    </row>
    <row r="206">
      <c r="A206" t="str">
        <v>networking</v>
      </c>
      <c r="B206" t="str">
        <v>Month</v>
      </c>
      <c r="C206">
        <v>1</v>
      </c>
      <c r="D206">
        <v>600</v>
      </c>
      <c r="E206">
        <f>C206*D206</f>
        <v>600</v>
      </c>
      <c r="F206">
        <f>E206*12</f>
        <v>7200</v>
      </c>
      <c r="G206">
        <f>E206*6</f>
        <v>3600</v>
      </c>
      <c r="H206" t="str">
        <v/>
      </c>
      <c r="I206">
        <f>E206*Assumptions!$B$4</f>
        <v>56670</v>
      </c>
      <c r="J206">
        <f>F206*Assumptions!$B$4</f>
        <v>680040</v>
      </c>
      <c r="K206">
        <f>G206*Assumptions!$B$4</f>
        <v>340020</v>
      </c>
    </row>
    <row r="207">
      <c r="A207" t="str">
        <v>data_transfer</v>
      </c>
      <c r="B207" t="str">
        <v>Month</v>
      </c>
      <c r="C207">
        <v>1</v>
      </c>
      <c r="D207">
        <v>800</v>
      </c>
      <c r="E207">
        <f>C207*D207</f>
        <v>800</v>
      </c>
      <c r="F207">
        <f>E207*12</f>
        <v>9600</v>
      </c>
      <c r="G207">
        <f>E207*6</f>
        <v>4800</v>
      </c>
      <c r="H207" t="str">
        <v/>
      </c>
      <c r="I207">
        <f>E207*Assumptions!$B$4</f>
        <v>75560</v>
      </c>
      <c r="J207">
        <f>F207*Assumptions!$B$4</f>
        <v>906720</v>
      </c>
      <c r="K207">
        <f>G207*Assumptions!$B$4</f>
        <v>453360</v>
      </c>
    </row>
    <row r="208">
      <c r="A208" t="str">
        <v>monitoring</v>
      </c>
      <c r="B208" t="str">
        <v>Month</v>
      </c>
      <c r="C208">
        <v>1</v>
      </c>
      <c r="D208">
        <v>250</v>
      </c>
      <c r="E208">
        <f>C208*D208</f>
        <v>250</v>
      </c>
      <c r="F208">
        <f>E208*12</f>
        <v>3000</v>
      </c>
      <c r="G208">
        <f>E208*6</f>
        <v>1500</v>
      </c>
      <c r="H208" t="str">
        <v/>
      </c>
      <c r="I208">
        <f>E208*Assumptions!$B$4</f>
        <v>23612.5</v>
      </c>
      <c r="J208">
        <f>F208*Assumptions!$B$4</f>
        <v>283350</v>
      </c>
      <c r="K208">
        <f>G208*Assumptions!$B$4</f>
        <v>141675</v>
      </c>
    </row>
    <row r="209">
      <c r="A209" t="str">
        <v>backups</v>
      </c>
      <c r="B209" t="str">
        <v>Month</v>
      </c>
      <c r="C209">
        <v>1</v>
      </c>
      <c r="D209">
        <v>400</v>
      </c>
      <c r="E209">
        <f>C209*D209</f>
        <v>400</v>
      </c>
      <c r="F209">
        <f>E209*12</f>
        <v>4800</v>
      </c>
      <c r="G209">
        <f>E209*6</f>
        <v>2400</v>
      </c>
      <c r="H209" t="str">
        <v/>
      </c>
      <c r="I209">
        <f>E209*Assumptions!$B$4</f>
        <v>37780</v>
      </c>
      <c r="J209">
        <f>F209*Assumptions!$B$4</f>
        <v>453360</v>
      </c>
      <c r="K209">
        <f>G209*Assumptions!$B$4</f>
        <v>226680</v>
      </c>
    </row>
    <row r="210">
      <c r="A210" t="str">
        <v>AWS Subtotal</v>
      </c>
      <c r="B210" t="str">
        <v/>
      </c>
      <c r="C210" t="str">
        <v/>
      </c>
      <c r="D210" t="str">
        <v/>
      </c>
      <c r="E210">
        <f>SUM(E203:E209)</f>
        <v>10750</v>
      </c>
      <c r="F210">
        <f>E210*12</f>
        <v>129000</v>
      </c>
      <c r="G210">
        <f>E210*6</f>
        <v>64500</v>
      </c>
      <c r="H210" t="str">
        <v/>
      </c>
      <c r="I210">
        <f>E210*Assumptions!$B$4</f>
        <v>1015337.5</v>
      </c>
      <c r="J210">
        <f>F210*Assumptions!$B$4</f>
        <v>12184050</v>
      </c>
      <c r="K210">
        <f>G210*Assumptions!$B$4</f>
        <v>6092025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>Engineering Team (India-based)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</row>
    <row r="213">
      <c r="A213" t="str">
        <v>Senior Dev</v>
      </c>
      <c r="B213" t="str">
        <v>Person</v>
      </c>
      <c r="C213">
        <v>4</v>
      </c>
      <c r="D213">
        <f>Assumptions!$B$11/Assumptions!$B$4</f>
        <v>3529.2006352567496</v>
      </c>
      <c r="E213">
        <f>C213*D213</f>
        <v>14116.802541026998</v>
      </c>
      <c r="F213">
        <f>E213*12</f>
        <v>169401.63049232398</v>
      </c>
      <c r="G213">
        <f>E213*6</f>
        <v>84700.81524616199</v>
      </c>
      <c r="H213" t="str">
        <v/>
      </c>
      <c r="I213">
        <f>E213*Assumptions!$B$4</f>
        <v>1333332</v>
      </c>
      <c r="J213">
        <f>F213*Assumptions!$B$4</f>
        <v>15999984</v>
      </c>
      <c r="K213">
        <f>G213*Assumptions!$B$4</f>
        <v>7999992</v>
      </c>
    </row>
    <row r="214">
      <c r="A214" t="str">
        <v>Mid-level Dev</v>
      </c>
      <c r="B214" t="str">
        <v>Person</v>
      </c>
      <c r="C214">
        <v>5</v>
      </c>
      <c r="D214">
        <f>Assumptions!$B$10/Assumptions!$B$4</f>
        <v>1941.0587612493382</v>
      </c>
      <c r="E214">
        <f>C214*D214</f>
        <v>9705.293806246691</v>
      </c>
      <c r="F214">
        <f>E214*12</f>
        <v>116463.52567496028</v>
      </c>
      <c r="G214">
        <f>E214*6</f>
        <v>58231.76283748014</v>
      </c>
      <c r="H214" t="str">
        <v/>
      </c>
      <c r="I214">
        <f>E214*Assumptions!$B$4</f>
        <v>916665</v>
      </c>
      <c r="J214">
        <f>F214*Assumptions!$B$4</f>
        <v>10999980</v>
      </c>
      <c r="K214">
        <f>G214*Assumptions!$B$4</f>
        <v>5499990</v>
      </c>
    </row>
    <row r="215">
      <c r="A215" t="str">
        <v>Junior Dev</v>
      </c>
      <c r="B215" t="str">
        <v>Person</v>
      </c>
      <c r="C215">
        <v>4</v>
      </c>
      <c r="D215">
        <f>Assumptions!$B$9/Assumptions!$B$4</f>
        <v>882.297511911064</v>
      </c>
      <c r="E215">
        <f>C215*D215</f>
        <v>3529.190047644256</v>
      </c>
      <c r="F215">
        <f>E215*12</f>
        <v>42350.28057173107</v>
      </c>
      <c r="G215">
        <f>E215*6</f>
        <v>21175.140285865535</v>
      </c>
      <c r="H215" t="str">
        <v/>
      </c>
      <c r="I215">
        <f>E215*Assumptions!$B$4</f>
        <v>333332</v>
      </c>
      <c r="J215">
        <f>F215*Assumptions!$B$4</f>
        <v>3999983.9999999995</v>
      </c>
      <c r="K215">
        <f>G215*Assumptions!$B$4</f>
        <v>1999991.9999999998</v>
      </c>
    </row>
    <row r="216">
      <c r="A216" t="str">
        <v>DevOps</v>
      </c>
      <c r="B216" t="str">
        <v>Person</v>
      </c>
      <c r="C216">
        <v>2</v>
      </c>
      <c r="D216">
        <f>Assumptions!$B$13/Assumptions!$B$4</f>
        <v>1941.0587612493382</v>
      </c>
      <c r="E216">
        <f>C216*D216</f>
        <v>3882.1175224986764</v>
      </c>
      <c r="F216">
        <f>E216*12</f>
        <v>46585.41026998412</v>
      </c>
      <c r="G216">
        <f>E216*6</f>
        <v>23292.70513499206</v>
      </c>
      <c r="H216" t="str">
        <v/>
      </c>
      <c r="I216">
        <f>E216*Assumptions!$B$4</f>
        <v>366666</v>
      </c>
      <c r="J216">
        <f>F216*Assumptions!$B$4</f>
        <v>4399992</v>
      </c>
      <c r="K216">
        <f>G216*Assumptions!$B$4</f>
        <v>2199996</v>
      </c>
    </row>
    <row r="217">
      <c r="A217" t="str">
        <v>QA</v>
      </c>
      <c r="B217" t="str">
        <v>Person</v>
      </c>
      <c r="C217">
        <v>3</v>
      </c>
      <c r="D217">
        <f>Assumptions!$B$14/Assumptions!$B$4</f>
        <v>1058.7612493382742</v>
      </c>
      <c r="E217">
        <f>C217*D217</f>
        <v>3176.283748014823</v>
      </c>
      <c r="F217">
        <f>E217*12</f>
        <v>38115.40497617787</v>
      </c>
      <c r="G217">
        <f>E217*6</f>
        <v>19057.702488088937</v>
      </c>
      <c r="H217" t="str">
        <v/>
      </c>
      <c r="I217">
        <f>E217*Assumptions!$B$4</f>
        <v>300000</v>
      </c>
      <c r="J217">
        <f>F217*Assumptions!$B$4</f>
        <v>3600000.0000000005</v>
      </c>
      <c r="K217">
        <f>G217*Assumptions!$B$4</f>
        <v>1800000.0000000002</v>
      </c>
    </row>
    <row r="218">
      <c r="A218" t="str">
        <v>Product Manager</v>
      </c>
      <c r="B218" t="str">
        <v>Person</v>
      </c>
      <c r="C218">
        <v>2</v>
      </c>
      <c r="D218">
        <f>Assumptions!$B$15/Assumptions!$B$4</f>
        <v>2470.439385918475</v>
      </c>
      <c r="E218">
        <f>C218*D218</f>
        <v>4940.87877183695</v>
      </c>
      <c r="F218">
        <f>E218*12</f>
        <v>59290.54526204341</v>
      </c>
      <c r="G218">
        <f>E218*6</f>
        <v>29645.272631021704</v>
      </c>
      <c r="H218" t="str">
        <v/>
      </c>
      <c r="I218">
        <f>E218*Assumptions!$B$4</f>
        <v>466666</v>
      </c>
      <c r="J218">
        <f>F218*Assumptions!$B$4</f>
        <v>5599992</v>
      </c>
      <c r="K218">
        <f>G218*Assumptions!$B$4</f>
        <v>2799996</v>
      </c>
    </row>
    <row r="219">
      <c r="A219" t="str">
        <v>Designer</v>
      </c>
      <c r="B219" t="str">
        <v>Person</v>
      </c>
      <c r="C219">
        <v>2</v>
      </c>
      <c r="D219">
        <f>Assumptions!$B$16/Assumptions!$B$4</f>
        <v>1411.6781365802012</v>
      </c>
      <c r="E219">
        <f>C219*D219</f>
        <v>2823.3562731604025</v>
      </c>
      <c r="F219">
        <f>E219*12</f>
        <v>33880.275277924826</v>
      </c>
      <c r="G219">
        <f>E219*6</f>
        <v>16940.137638962413</v>
      </c>
      <c r="H219" t="str">
        <v/>
      </c>
      <c r="I219">
        <f>E219*Assumptions!$B$4</f>
        <v>266666</v>
      </c>
      <c r="J219">
        <f>F219*Assumptions!$B$4</f>
        <v>3199992</v>
      </c>
      <c r="K219">
        <f>G219*Assumptions!$B$4</f>
        <v>1599996</v>
      </c>
    </row>
    <row r="220">
      <c r="A220" t="str">
        <v>Tech Lead</v>
      </c>
      <c r="B220" t="str">
        <v>Person</v>
      </c>
      <c r="C220">
        <v>1</v>
      </c>
      <c r="D220">
        <f>Assumptions!$B$12/Assumptions!$B$4</f>
        <v>4852.652196929592</v>
      </c>
      <c r="E220">
        <f>C220*D220</f>
        <v>4852.652196929592</v>
      </c>
      <c r="F220">
        <f>E220*12</f>
        <v>58231.8263631551</v>
      </c>
      <c r="G220">
        <f>E220*6</f>
        <v>29115.91318157755</v>
      </c>
      <c r="H220" t="str">
        <v/>
      </c>
      <c r="I220">
        <f>E220*Assumptions!$B$4</f>
        <v>458332.99999999994</v>
      </c>
      <c r="J220">
        <f>F220*Assumptions!$B$4</f>
        <v>5499995.999999999</v>
      </c>
      <c r="K220">
        <f>G220*Assumptions!$B$4</f>
        <v>2749997.9999999995</v>
      </c>
    </row>
    <row r="221">
      <c r="A221" t="str">
        <v>Support</v>
      </c>
      <c r="B221" t="str">
        <v>Person</v>
      </c>
      <c r="C221">
        <v>2</v>
      </c>
      <c r="D221">
        <f>Assumptions!$B$17/Assumptions!$B$4</f>
        <v>529.3806246691371</v>
      </c>
      <c r="E221">
        <f>C221*D221</f>
        <v>1058.7612493382742</v>
      </c>
      <c r="F221">
        <f>E221*12</f>
        <v>12705.134992059291</v>
      </c>
      <c r="G221">
        <f>E221*6</f>
        <v>6352.567496029646</v>
      </c>
      <c r="H221" t="str">
        <v/>
      </c>
      <c r="I221">
        <f>E221*Assumptions!$B$4</f>
        <v>100000</v>
      </c>
      <c r="J221">
        <f>F221*Assumptions!$B$4</f>
        <v>1200000</v>
      </c>
      <c r="K221">
        <f>G221*Assumptions!$B$4</f>
        <v>600000</v>
      </c>
    </row>
    <row r="222">
      <c r="A222" t="str">
        <v>Home Setup Stipend (per person)</v>
      </c>
      <c r="B222" t="str">
        <v>One-time</v>
      </c>
      <c r="C222">
        <v>25</v>
      </c>
      <c r="D222">
        <v>200</v>
      </c>
      <c r="E222">
        <f>C222*D222</f>
        <v>5000</v>
      </c>
      <c r="F222">
        <f>E222*12</f>
        <v>60000</v>
      </c>
      <c r="G222">
        <f>E222*6</f>
        <v>30000</v>
      </c>
      <c r="H222" t="str">
        <v/>
      </c>
      <c r="I222">
        <f>E222*Assumptions!$B$4</f>
        <v>472250</v>
      </c>
      <c r="J222">
        <f>F222*Assumptions!$B$4</f>
        <v>5667000</v>
      </c>
      <c r="K222">
        <f>G222*Assumptions!$B$4</f>
        <v>2833500</v>
      </c>
    </row>
    <row r="223">
      <c r="A223" t="str">
        <v>Internet Stipend</v>
      </c>
      <c r="B223" t="str">
        <v>Month</v>
      </c>
      <c r="C223">
        <v>1</v>
      </c>
      <c r="D223">
        <v>200</v>
      </c>
      <c r="E223">
        <f>C223*D223</f>
        <v>200</v>
      </c>
      <c r="F223">
        <f>E223*12</f>
        <v>2400</v>
      </c>
      <c r="G223">
        <f>E223*6</f>
        <v>1200</v>
      </c>
      <c r="H223" t="str">
        <v/>
      </c>
      <c r="I223">
        <f>E223*Assumptions!$B$4</f>
        <v>18890</v>
      </c>
      <c r="J223">
        <f>F223*Assumptions!$B$4</f>
        <v>226680</v>
      </c>
      <c r="K223">
        <f>G223*Assumptions!$B$4</f>
        <v>113340</v>
      </c>
    </row>
    <row r="224">
      <c r="A224" t="str">
        <v>Team Subtotal</v>
      </c>
      <c r="B224" t="str">
        <v/>
      </c>
      <c r="C224" t="str">
        <v/>
      </c>
      <c r="D224" t="str">
        <v/>
      </c>
      <c r="E224">
        <f>SUM(E213:E223)</f>
        <v>53285.33615669667</v>
      </c>
      <c r="F224">
        <f>E224*12</f>
        <v>639424.0338803601</v>
      </c>
      <c r="G224">
        <f>E224*6</f>
        <v>319712.01694018004</v>
      </c>
      <c r="H224" t="str">
        <v/>
      </c>
      <c r="I224">
        <f>E224*Assumptions!$B$4</f>
        <v>5032800.000000001</v>
      </c>
      <c r="J224">
        <f>F224*Assumptions!$B$4</f>
        <v>60393600.00000001</v>
      </c>
      <c r="K224">
        <f>G224*Assumptions!$B$4</f>
        <v>30196800.000000004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</row>
    <row r="226">
      <c r="A226" t="str">
        <v>Customer Acquisition (CAC-based)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>New user acquisition (paid + organic, blended)</v>
      </c>
      <c r="B227" t="str">
        <v>New users/mo</v>
      </c>
      <c r="C227">
        <v>4167</v>
      </c>
      <c r="D227">
        <f>Assumptions!$B$26</f>
        <v>4</v>
      </c>
      <c r="E227">
        <f>C227*D227</f>
        <v>16668</v>
      </c>
      <c r="F227">
        <f>E227*12</f>
        <v>200016</v>
      </c>
      <c r="G227">
        <f>E227*6</f>
        <v>100008</v>
      </c>
      <c r="H227" t="str">
        <v>25,000 net-new users over Months 25-30 (25,000→50,000) ÷ 6mo = 4,167/mo net-new × Year 3 blended CAC ($4). Added 2026-09-08 -- previously the CAC stated in the Pitch Deck's unit-economics table was never charged against this cost model.</v>
      </c>
      <c r="I227">
        <f>E227*Assumptions!$B$4</f>
        <v>1574292.6</v>
      </c>
      <c r="J227">
        <f>F227*Assumptions!$B$4</f>
        <v>18891511.2</v>
      </c>
      <c r="K227">
        <f>G227*Assumptions!$B$4</f>
        <v>9445755.6</v>
      </c>
    </row>
    <row r="228">
      <c r="A228" t="str">
        <v>Customer Acquisition Subtotal</v>
      </c>
      <c r="B228" t="str">
        <v/>
      </c>
      <c r="C228" t="str">
        <v/>
      </c>
      <c r="D228" t="str">
        <v/>
      </c>
      <c r="E228">
        <f>SUM(E227:E227)</f>
        <v>16668</v>
      </c>
      <c r="F228">
        <f>E228*12</f>
        <v>200016</v>
      </c>
      <c r="G228">
        <f>E228*6</f>
        <v>100008</v>
      </c>
      <c r="H228" t="str">
        <v/>
      </c>
      <c r="I228">
        <f>E228*Assumptions!$B$4</f>
        <v>1574292.6</v>
      </c>
      <c r="J228">
        <f>F228*Assumptions!$B$4</f>
        <v>18891511.2</v>
      </c>
      <c r="K228">
        <f>G228*Assumptions!$B$4</f>
        <v>9445755.6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 t="str">
        <v>Operating Costs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</row>
    <row r="231">
      <c r="A231" t="str">
        <v>SaaS Tools (Jira, Slack, etc.)</v>
      </c>
      <c r="B231" t="str">
        <v>Month</v>
      </c>
      <c r="C231">
        <v>1</v>
      </c>
      <c r="D231">
        <v>300</v>
      </c>
      <c r="E231">
        <f>C231*D231</f>
        <v>300</v>
      </c>
      <c r="F231">
        <f>E231*12</f>
        <v>3600</v>
      </c>
      <c r="G231">
        <f>E231*6</f>
        <v>1800</v>
      </c>
      <c r="H231" t="str">
        <v/>
      </c>
      <c r="I231">
        <f>E231*Assumptions!$B$4</f>
        <v>28335</v>
      </c>
      <c r="J231">
        <f>F231*Assumptions!$B$4</f>
        <v>340020</v>
      </c>
      <c r="K231">
        <f>G231*Assumptions!$B$4</f>
        <v>170010</v>
      </c>
    </row>
    <row r="232">
      <c r="A232" t="str">
        <v>DevOps Tools (CI/CD, monitoring)</v>
      </c>
      <c r="B232" t="str">
        <v>Month</v>
      </c>
      <c r="C232">
        <v>1</v>
      </c>
      <c r="D232">
        <v>200</v>
      </c>
      <c r="E232">
        <f>C232*D232</f>
        <v>200</v>
      </c>
      <c r="F232">
        <f>E232*12</f>
        <v>2400</v>
      </c>
      <c r="G232">
        <f>E232*6</f>
        <v>1200</v>
      </c>
      <c r="H232" t="str">
        <v/>
      </c>
      <c r="I232">
        <f>E232*Assumptions!$B$4</f>
        <v>18890</v>
      </c>
      <c r="J232">
        <f>F232*Assumptions!$B$4</f>
        <v>226680</v>
      </c>
      <c r="K232">
        <f>G232*Assumptions!$B$4</f>
        <v>113340</v>
      </c>
    </row>
    <row r="233">
      <c r="A233" t="str">
        <v>Communication &amp; Collaboration</v>
      </c>
      <c r="B233" t="str">
        <v>Month</v>
      </c>
      <c r="C233">
        <v>1</v>
      </c>
      <c r="D233">
        <v>150</v>
      </c>
      <c r="E233">
        <f>C233*D233</f>
        <v>150</v>
      </c>
      <c r="F233">
        <f>E233*12</f>
        <v>1800</v>
      </c>
      <c r="G233">
        <f>E233*6</f>
        <v>900</v>
      </c>
      <c r="H233" t="str">
        <v/>
      </c>
      <c r="I233">
        <f>E233*Assumptions!$B$4</f>
        <v>14167.5</v>
      </c>
      <c r="J233">
        <f>F233*Assumptions!$B$4</f>
        <v>170010</v>
      </c>
      <c r="K233">
        <f>G233*Assumptions!$B$4</f>
        <v>85005</v>
      </c>
    </row>
    <row r="234">
      <c r="A234" t="str">
        <v>Professional Development</v>
      </c>
      <c r="B234" t="str">
        <v>Month</v>
      </c>
      <c r="C234">
        <v>1</v>
      </c>
      <c r="D234">
        <v>200</v>
      </c>
      <c r="E234">
        <f>C234*D234</f>
        <v>200</v>
      </c>
      <c r="F234">
        <f>E234*12</f>
        <v>2400</v>
      </c>
      <c r="G234">
        <f>E234*6</f>
        <v>1200</v>
      </c>
      <c r="H234" t="str">
        <v/>
      </c>
      <c r="I234">
        <f>E234*Assumptions!$B$4</f>
        <v>18890</v>
      </c>
      <c r="J234">
        <f>F234*Assumptions!$B$4</f>
        <v>226680</v>
      </c>
      <c r="K234">
        <f>G234*Assumptions!$B$4</f>
        <v>113340</v>
      </c>
    </row>
    <row r="235">
      <c r="A235" t="str">
        <v>Insurance &amp; Compliance</v>
      </c>
      <c r="B235" t="str">
        <v>Month</v>
      </c>
      <c r="C235">
        <v>1</v>
      </c>
      <c r="D235">
        <v>300</v>
      </c>
      <c r="E235">
        <f>C235*D235</f>
        <v>300</v>
      </c>
      <c r="F235">
        <f>E235*12</f>
        <v>3600</v>
      </c>
      <c r="G235">
        <f>E235*6</f>
        <v>1800</v>
      </c>
      <c r="H235" t="str">
        <v/>
      </c>
      <c r="I235">
        <f>E235*Assumptions!$B$4</f>
        <v>28335</v>
      </c>
      <c r="J235">
        <f>F235*Assumptions!$B$4</f>
        <v>340020</v>
      </c>
      <c r="K235">
        <f>G235*Assumptions!$B$4</f>
        <v>170010</v>
      </c>
    </row>
    <row r="236">
      <c r="A236" t="str">
        <v>Marketing &amp; Community</v>
      </c>
      <c r="B236" t="str">
        <v>Month</v>
      </c>
      <c r="C236">
        <v>1</v>
      </c>
      <c r="D236">
        <v>500</v>
      </c>
      <c r="E236">
        <f>C236*D236</f>
        <v>500</v>
      </c>
      <c r="F236">
        <f>E236*12</f>
        <v>6000</v>
      </c>
      <c r="G236">
        <f>E236*6</f>
        <v>3000</v>
      </c>
      <c r="H236" t="str">
        <v/>
      </c>
      <c r="I236">
        <f>E236*Assumptions!$B$4</f>
        <v>47225</v>
      </c>
      <c r="J236">
        <f>F236*Assumptions!$B$4</f>
        <v>566700</v>
      </c>
      <c r="K236">
        <f>G236*Assumptions!$B$4</f>
        <v>283350</v>
      </c>
    </row>
    <row r="237">
      <c r="A237" t="str">
        <v>Operating Subtotal</v>
      </c>
      <c r="B237" t="str">
        <v/>
      </c>
      <c r="C237" t="str">
        <v/>
      </c>
      <c r="D237" t="str">
        <v/>
      </c>
      <c r="E237">
        <f>SUM(E231:E236)</f>
        <v>1650</v>
      </c>
      <c r="F237">
        <f>E237*12</f>
        <v>19800</v>
      </c>
      <c r="G237">
        <f>E237*6</f>
        <v>9900</v>
      </c>
      <c r="H237" t="str">
        <v/>
      </c>
      <c r="I237">
        <f>E237*Assumptions!$B$4</f>
        <v>155842.5</v>
      </c>
      <c r="J237">
        <f>F237*Assumptions!$B$4</f>
        <v>1870110</v>
      </c>
      <c r="K237">
        <f>G237*Assumptions!$B$4</f>
        <v>935055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</row>
    <row r="239">
      <c r="A239" t="str">
        <v>TOTAL MONTHLY COST</v>
      </c>
      <c r="B239" t="str">
        <v/>
      </c>
      <c r="C239" t="str">
        <v/>
      </c>
      <c r="D239" t="str">
        <v/>
      </c>
      <c r="E239">
        <f>E210+E224+E228+E237</f>
        <v>82353.33615669666</v>
      </c>
      <c r="F239">
        <f>E239*12</f>
        <v>988240.03388036</v>
      </c>
      <c r="G239">
        <f>E239*6</f>
        <v>494120.01694018</v>
      </c>
      <c r="H239" t="str">
        <v/>
      </c>
      <c r="I239">
        <f>E239*Assumptions!$B$4</f>
        <v>7778272.6</v>
      </c>
      <c r="J239">
        <f>F239*Assumptions!$B$4</f>
        <v>93339271.2</v>
      </c>
      <c r="K239">
        <f>G239*Assumptions!$B$4</f>
        <v>46669635.6</v>
      </c>
    </row>
    <row r="240">
      <c r="A240" t="str">
        <v>Cost per User (Monthly)</v>
      </c>
      <c r="B240" t="str">
        <v/>
      </c>
      <c r="C240" t="str">
        <v/>
      </c>
      <c r="D240" t="str">
        <v/>
      </c>
      <c r="E240">
        <f>E239/50000</f>
        <v>1.6470667231339333</v>
      </c>
      <c r="F240" t="str">
        <v/>
      </c>
      <c r="G240" t="str">
        <v/>
      </c>
      <c r="H240" t="str">
        <v/>
      </c>
      <c r="I240">
        <f>E240*Assumptions!$B$4</f>
        <v>155.565452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</row>
    <row r="243">
      <c r="A243" t="str">
        <v>Month 36 — 100,000 Users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>
      <c r="A244" t="str">
        <v>Category</v>
      </c>
      <c r="B244" t="str">
        <v>Unit</v>
      </c>
      <c r="C244" t="str">
        <v>Quantity</v>
      </c>
      <c r="D244" t="str">
        <v>Unit Cost (USD)</v>
      </c>
      <c r="E244" t="str">
        <v>Monthly Cost (USD)</v>
      </c>
      <c r="F244" t="str">
        <v>Annual Cost (USD)</v>
      </c>
      <c r="G244" t="str">
        <v>6-Month Cost (USD)</v>
      </c>
      <c r="H244" t="str">
        <v>Notes</v>
      </c>
      <c r="I244" t="str">
        <v>Monthly Cost (INR)</v>
      </c>
      <c r="J244" t="str">
        <v>Annual Cost (INR)</v>
      </c>
      <c r="K244" t="str">
        <v>6-Month Cost (INR)</v>
      </c>
    </row>
    <row r="245">
      <c r="A245" t="str">
        <v>AWS Infrastructure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</row>
    <row r="246">
      <c r="A246" t="str">
        <v>compute</v>
      </c>
      <c r="B246" t="str">
        <v>Month</v>
      </c>
      <c r="C246">
        <v>1</v>
      </c>
      <c r="D246">
        <v>8000</v>
      </c>
      <c r="E246">
        <f>C246*D246</f>
        <v>8000</v>
      </c>
      <c r="F246">
        <f>E246*12</f>
        <v>96000</v>
      </c>
      <c r="G246">
        <f>E246*6</f>
        <v>48000</v>
      </c>
      <c r="H246" t="str">
        <v/>
      </c>
      <c r="I246">
        <f>E246*Assumptions!$B$4</f>
        <v>755600</v>
      </c>
      <c r="J246">
        <f>F246*Assumptions!$B$4</f>
        <v>9067200</v>
      </c>
      <c r="K246">
        <f>G246*Assumptions!$B$4</f>
        <v>4533600</v>
      </c>
    </row>
    <row r="247">
      <c r="A247" t="str">
        <v>database</v>
      </c>
      <c r="B247" t="str">
        <v>Month</v>
      </c>
      <c r="C247">
        <v>1</v>
      </c>
      <c r="D247">
        <v>5500</v>
      </c>
      <c r="E247">
        <f>C247*D247</f>
        <v>5500</v>
      </c>
      <c r="F247">
        <f>E247*12</f>
        <v>66000</v>
      </c>
      <c r="G247">
        <f>E247*6</f>
        <v>33000</v>
      </c>
      <c r="H247" t="str">
        <v/>
      </c>
      <c r="I247">
        <f>E247*Assumptions!$B$4</f>
        <v>519475</v>
      </c>
      <c r="J247">
        <f>F247*Assumptions!$B$4</f>
        <v>6233700</v>
      </c>
      <c r="K247">
        <f>G247*Assumptions!$B$4</f>
        <v>3116850</v>
      </c>
    </row>
    <row r="248">
      <c r="A248" t="str">
        <v>storage</v>
      </c>
      <c r="B248" t="str">
        <v>Month</v>
      </c>
      <c r="C248">
        <v>1</v>
      </c>
      <c r="D248">
        <v>1800</v>
      </c>
      <c r="E248">
        <f>C248*D248</f>
        <v>1800</v>
      </c>
      <c r="F248">
        <f>E248*12</f>
        <v>21600</v>
      </c>
      <c r="G248">
        <f>E248*6</f>
        <v>10800</v>
      </c>
      <c r="H248" t="str">
        <v/>
      </c>
      <c r="I248">
        <f>E248*Assumptions!$B$4</f>
        <v>170010</v>
      </c>
      <c r="J248">
        <f>F248*Assumptions!$B$4</f>
        <v>2040120</v>
      </c>
      <c r="K248">
        <f>G248*Assumptions!$B$4</f>
        <v>1020060</v>
      </c>
    </row>
    <row r="249">
      <c r="A249" t="str">
        <v>networking</v>
      </c>
      <c r="B249" t="str">
        <v>Month</v>
      </c>
      <c r="C249">
        <v>1</v>
      </c>
      <c r="D249">
        <v>1000</v>
      </c>
      <c r="E249">
        <f>C249*D249</f>
        <v>1000</v>
      </c>
      <c r="F249">
        <f>E249*12</f>
        <v>12000</v>
      </c>
      <c r="G249">
        <f>E249*6</f>
        <v>6000</v>
      </c>
      <c r="H249" t="str">
        <v/>
      </c>
      <c r="I249">
        <f>E249*Assumptions!$B$4</f>
        <v>94450</v>
      </c>
      <c r="J249">
        <f>F249*Assumptions!$B$4</f>
        <v>1133400</v>
      </c>
      <c r="K249">
        <f>G249*Assumptions!$B$4</f>
        <v>566700</v>
      </c>
    </row>
    <row r="250">
      <c r="A250" t="str">
        <v>data_transfer</v>
      </c>
      <c r="B250" t="str">
        <v>Month</v>
      </c>
      <c r="C250">
        <v>1</v>
      </c>
      <c r="D250">
        <v>1200</v>
      </c>
      <c r="E250">
        <f>C250*D250</f>
        <v>1200</v>
      </c>
      <c r="F250">
        <f>E250*12</f>
        <v>14400</v>
      </c>
      <c r="G250">
        <f>E250*6</f>
        <v>7200</v>
      </c>
      <c r="H250" t="str">
        <v/>
      </c>
      <c r="I250">
        <f>E250*Assumptions!$B$4</f>
        <v>113340</v>
      </c>
      <c r="J250">
        <f>F250*Assumptions!$B$4</f>
        <v>1360080</v>
      </c>
      <c r="K250">
        <f>G250*Assumptions!$B$4</f>
        <v>680040</v>
      </c>
    </row>
    <row r="251">
      <c r="A251" t="str">
        <v>monitoring</v>
      </c>
      <c r="B251" t="str">
        <v>Month</v>
      </c>
      <c r="C251">
        <v>1</v>
      </c>
      <c r="D251">
        <v>400</v>
      </c>
      <c r="E251">
        <f>C251*D251</f>
        <v>400</v>
      </c>
      <c r="F251">
        <f>E251*12</f>
        <v>4800</v>
      </c>
      <c r="G251">
        <f>E251*6</f>
        <v>2400</v>
      </c>
      <c r="H251" t="str">
        <v/>
      </c>
      <c r="I251">
        <f>E251*Assumptions!$B$4</f>
        <v>37780</v>
      </c>
      <c r="J251">
        <f>F251*Assumptions!$B$4</f>
        <v>453360</v>
      </c>
      <c r="K251">
        <f>G251*Assumptions!$B$4</f>
        <v>226680</v>
      </c>
    </row>
    <row r="252">
      <c r="A252" t="str">
        <v>backups</v>
      </c>
      <c r="B252" t="str">
        <v>Month</v>
      </c>
      <c r="C252">
        <v>1</v>
      </c>
      <c r="D252">
        <v>600</v>
      </c>
      <c r="E252">
        <f>C252*D252</f>
        <v>600</v>
      </c>
      <c r="F252">
        <f>E252*12</f>
        <v>7200</v>
      </c>
      <c r="G252">
        <f>E252*6</f>
        <v>3600</v>
      </c>
      <c r="H252" t="str">
        <v/>
      </c>
      <c r="I252">
        <f>E252*Assumptions!$B$4</f>
        <v>56670</v>
      </c>
      <c r="J252">
        <f>F252*Assumptions!$B$4</f>
        <v>680040</v>
      </c>
      <c r="K252">
        <f>G252*Assumptions!$B$4</f>
        <v>340020</v>
      </c>
    </row>
    <row r="253">
      <c r="A253" t="str">
        <v>AWS Subtotal</v>
      </c>
      <c r="B253" t="str">
        <v/>
      </c>
      <c r="C253" t="str">
        <v/>
      </c>
      <c r="D253" t="str">
        <v/>
      </c>
      <c r="E253">
        <f>SUM(E246:E252)</f>
        <v>18500</v>
      </c>
      <c r="F253">
        <f>E253*12</f>
        <v>222000</v>
      </c>
      <c r="G253">
        <f>E253*6</f>
        <v>111000</v>
      </c>
      <c r="H253" t="str">
        <v/>
      </c>
      <c r="I253">
        <f>E253*Assumptions!$B$4</f>
        <v>1747325</v>
      </c>
      <c r="J253">
        <f>F253*Assumptions!$B$4</f>
        <v>20967900</v>
      </c>
      <c r="K253">
        <f>G253*Assumptions!$B$4</f>
        <v>10483950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</row>
    <row r="255">
      <c r="A255" t="str">
        <v>Engineering Team (India-based)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>Senior Dev</v>
      </c>
      <c r="B256" t="str">
        <v>Person</v>
      </c>
      <c r="C256">
        <v>5</v>
      </c>
      <c r="D256">
        <f>Assumptions!$B$11/Assumptions!$B$4</f>
        <v>3529.2006352567496</v>
      </c>
      <c r="E256">
        <f>C256*D256</f>
        <v>17646.003176283746</v>
      </c>
      <c r="F256">
        <f>E256*12</f>
        <v>211752.03811540495</v>
      </c>
      <c r="G256">
        <f>E256*6</f>
        <v>105876.01905770248</v>
      </c>
      <c r="H256" t="str">
        <v/>
      </c>
      <c r="I256">
        <f>E256*Assumptions!$B$4</f>
        <v>1666664.9999999998</v>
      </c>
      <c r="J256">
        <f>F256*Assumptions!$B$4</f>
        <v>19999980</v>
      </c>
      <c r="K256">
        <f>G256*Assumptions!$B$4</f>
        <v>9999990</v>
      </c>
    </row>
    <row r="257">
      <c r="A257" t="str">
        <v>Mid-level Dev</v>
      </c>
      <c r="B257" t="str">
        <v>Person</v>
      </c>
      <c r="C257">
        <v>7</v>
      </c>
      <c r="D257">
        <f>Assumptions!$B$10/Assumptions!$B$4</f>
        <v>1941.0587612493382</v>
      </c>
      <c r="E257">
        <f>C257*D257</f>
        <v>13587.411328745367</v>
      </c>
      <c r="F257">
        <f>E257*12</f>
        <v>163048.93594494442</v>
      </c>
      <c r="G257">
        <f>E257*6</f>
        <v>81524.46797247221</v>
      </c>
      <c r="H257" t="str">
        <v/>
      </c>
      <c r="I257">
        <f>E257*Assumptions!$B$4</f>
        <v>1283331</v>
      </c>
      <c r="J257">
        <f>F257*Assumptions!$B$4</f>
        <v>15399972</v>
      </c>
      <c r="K257">
        <f>G257*Assumptions!$B$4</f>
        <v>7699986</v>
      </c>
    </row>
    <row r="258">
      <c r="A258" t="str">
        <v>Junior Dev</v>
      </c>
      <c r="B258" t="str">
        <v>Person</v>
      </c>
      <c r="C258">
        <v>5</v>
      </c>
      <c r="D258">
        <f>Assumptions!$B$9/Assumptions!$B$4</f>
        <v>882.297511911064</v>
      </c>
      <c r="E258">
        <f>C258*D258</f>
        <v>4411.48755955532</v>
      </c>
      <c r="F258">
        <f>E258*12</f>
        <v>52937.850714663844</v>
      </c>
      <c r="G258">
        <f>E258*6</f>
        <v>26468.925357331922</v>
      </c>
      <c r="H258" t="str">
        <v/>
      </c>
      <c r="I258">
        <f>E258*Assumptions!$B$4</f>
        <v>416665</v>
      </c>
      <c r="J258">
        <f>F258*Assumptions!$B$4</f>
        <v>4999980</v>
      </c>
      <c r="K258">
        <f>G258*Assumptions!$B$4</f>
        <v>2499990</v>
      </c>
    </row>
    <row r="259">
      <c r="A259" t="str">
        <v>DevOps</v>
      </c>
      <c r="B259" t="str">
        <v>Person</v>
      </c>
      <c r="C259">
        <v>3</v>
      </c>
      <c r="D259">
        <f>Assumptions!$B$13/Assumptions!$B$4</f>
        <v>1941.0587612493382</v>
      </c>
      <c r="E259">
        <f>C259*D259</f>
        <v>5823.176283748015</v>
      </c>
      <c r="F259">
        <f>E259*12</f>
        <v>69878.11540497618</v>
      </c>
      <c r="G259">
        <f>E259*6</f>
        <v>34939.05770248809</v>
      </c>
      <c r="H259" t="str">
        <v/>
      </c>
      <c r="I259">
        <f>E259*Assumptions!$B$4</f>
        <v>549999</v>
      </c>
      <c r="J259">
        <f>F259*Assumptions!$B$4</f>
        <v>6599988.000000001</v>
      </c>
      <c r="K259">
        <f>G259*Assumptions!$B$4</f>
        <v>3299994.0000000005</v>
      </c>
    </row>
    <row r="260">
      <c r="A260" t="str">
        <v>QA</v>
      </c>
      <c r="B260" t="str">
        <v>Person</v>
      </c>
      <c r="C260">
        <v>4</v>
      </c>
      <c r="D260">
        <f>Assumptions!$B$14/Assumptions!$B$4</f>
        <v>1058.7612493382742</v>
      </c>
      <c r="E260">
        <f>C260*D260</f>
        <v>4235.044997353097</v>
      </c>
      <c r="F260">
        <f>E260*12</f>
        <v>50820.539968237164</v>
      </c>
      <c r="G260">
        <f>E260*6</f>
        <v>25410.269984118582</v>
      </c>
      <c r="H260" t="str">
        <v/>
      </c>
      <c r="I260">
        <f>E260*Assumptions!$B$4</f>
        <v>400000</v>
      </c>
      <c r="J260">
        <f>F260*Assumptions!$B$4</f>
        <v>4800000</v>
      </c>
      <c r="K260">
        <f>G260*Assumptions!$B$4</f>
        <v>2400000</v>
      </c>
    </row>
    <row r="261">
      <c r="A261" t="str">
        <v>Product Manager</v>
      </c>
      <c r="B261" t="str">
        <v>Person</v>
      </c>
      <c r="C261">
        <v>2</v>
      </c>
      <c r="D261">
        <f>Assumptions!$B$15/Assumptions!$B$4</f>
        <v>2470.439385918475</v>
      </c>
      <c r="E261">
        <f>C261*D261</f>
        <v>4940.87877183695</v>
      </c>
      <c r="F261">
        <f>E261*12</f>
        <v>59290.54526204341</v>
      </c>
      <c r="G261">
        <f>E261*6</f>
        <v>29645.272631021704</v>
      </c>
      <c r="H261" t="str">
        <v/>
      </c>
      <c r="I261">
        <f>E261*Assumptions!$B$4</f>
        <v>466666</v>
      </c>
      <c r="J261">
        <f>F261*Assumptions!$B$4</f>
        <v>5599992</v>
      </c>
      <c r="K261">
        <f>G261*Assumptions!$B$4</f>
        <v>2799996</v>
      </c>
    </row>
    <row r="262">
      <c r="A262" t="str">
        <v>Designer</v>
      </c>
      <c r="B262" t="str">
        <v>Person</v>
      </c>
      <c r="C262">
        <v>3</v>
      </c>
      <c r="D262">
        <f>Assumptions!$B$16/Assumptions!$B$4</f>
        <v>1411.6781365802012</v>
      </c>
      <c r="E262">
        <f>C262*D262</f>
        <v>4235.034409740603</v>
      </c>
      <c r="F262">
        <f>E262*12</f>
        <v>50820.41291688724</v>
      </c>
      <c r="G262">
        <f>E262*6</f>
        <v>25410.20645844362</v>
      </c>
      <c r="H262" t="str">
        <v/>
      </c>
      <c r="I262">
        <f>E262*Assumptions!$B$4</f>
        <v>399999</v>
      </c>
      <c r="J262">
        <f>F262*Assumptions!$B$4</f>
        <v>4799988</v>
      </c>
      <c r="K262">
        <f>G262*Assumptions!$B$4</f>
        <v>2399994</v>
      </c>
    </row>
    <row r="263">
      <c r="A263" t="str">
        <v>Tech Lead</v>
      </c>
      <c r="B263" t="str">
        <v>Person</v>
      </c>
      <c r="C263">
        <v>2</v>
      </c>
      <c r="D263">
        <f>Assumptions!$B$12/Assumptions!$B$4</f>
        <v>4852.652196929592</v>
      </c>
      <c r="E263">
        <f>C263*D263</f>
        <v>9705.304393859184</v>
      </c>
      <c r="F263">
        <f>E263*12</f>
        <v>116463.6527263102</v>
      </c>
      <c r="G263">
        <f>E263*6</f>
        <v>58231.8263631551</v>
      </c>
      <c r="H263" t="str">
        <v/>
      </c>
      <c r="I263">
        <f>E263*Assumptions!$B$4</f>
        <v>916665.9999999999</v>
      </c>
      <c r="J263">
        <f>F263*Assumptions!$B$4</f>
        <v>10999991.999999998</v>
      </c>
      <c r="K263">
        <f>G263*Assumptions!$B$4</f>
        <v>5499995.999999999</v>
      </c>
    </row>
    <row r="264">
      <c r="A264" t="str">
        <v>Support</v>
      </c>
      <c r="B264" t="str">
        <v>Person</v>
      </c>
      <c r="C264">
        <v>3</v>
      </c>
      <c r="D264">
        <f>Assumptions!$B$17/Assumptions!$B$4</f>
        <v>529.3806246691371</v>
      </c>
      <c r="E264">
        <f>C264*D264</f>
        <v>1588.1418740074114</v>
      </c>
      <c r="F264">
        <f>E264*12</f>
        <v>19057.702488088937</v>
      </c>
      <c r="G264">
        <f>E264*6</f>
        <v>9528.851244044468</v>
      </c>
      <c r="H264" t="str">
        <v/>
      </c>
      <c r="I264">
        <f>E264*Assumptions!$B$4</f>
        <v>150000</v>
      </c>
      <c r="J264">
        <f>F264*Assumptions!$B$4</f>
        <v>1800000.0000000002</v>
      </c>
      <c r="K264">
        <f>G264*Assumptions!$B$4</f>
        <v>900000.0000000001</v>
      </c>
    </row>
    <row r="265">
      <c r="A265" t="str">
        <v>Data Analyst</v>
      </c>
      <c r="B265" t="str">
        <v>Person</v>
      </c>
      <c r="C265">
        <v>1</v>
      </c>
      <c r="D265">
        <f>Assumptions!$B$18/Assumptions!$B$4</f>
        <v>1235.2249867654843</v>
      </c>
      <c r="E265">
        <f>C265*D265</f>
        <v>1235.2249867654843</v>
      </c>
      <c r="F265">
        <f>E265*12</f>
        <v>14822.699841185811</v>
      </c>
      <c r="G265">
        <f>E265*6</f>
        <v>7411.349920592906</v>
      </c>
      <c r="H265" t="str">
        <v/>
      </c>
      <c r="I265">
        <f>E265*Assumptions!$B$4</f>
        <v>116667</v>
      </c>
      <c r="J265">
        <f>F265*Assumptions!$B$4</f>
        <v>1400004</v>
      </c>
      <c r="K265">
        <f>G265*Assumptions!$B$4</f>
        <v>700002</v>
      </c>
    </row>
    <row r="266">
      <c r="A266" t="str">
        <v>Home Setup Stipend (per person)</v>
      </c>
      <c r="B266" t="str">
        <v>One-time</v>
      </c>
      <c r="C266">
        <v>35</v>
      </c>
      <c r="D266">
        <v>200</v>
      </c>
      <c r="E266">
        <f>C266*D266</f>
        <v>7000</v>
      </c>
      <c r="F266">
        <f>E266*12</f>
        <v>84000</v>
      </c>
      <c r="G266">
        <f>E266*6</f>
        <v>42000</v>
      </c>
      <c r="H266" t="str">
        <v/>
      </c>
      <c r="I266">
        <f>E266*Assumptions!$B$4</f>
        <v>661150</v>
      </c>
      <c r="J266">
        <f>F266*Assumptions!$B$4</f>
        <v>7933800</v>
      </c>
      <c r="K266">
        <f>G266*Assumptions!$B$4</f>
        <v>3966900</v>
      </c>
    </row>
    <row r="267">
      <c r="A267" t="str">
        <v>Internet Stipend</v>
      </c>
      <c r="B267" t="str">
        <v>Month</v>
      </c>
      <c r="C267">
        <v>1</v>
      </c>
      <c r="D267">
        <v>200</v>
      </c>
      <c r="E267">
        <f>C267*D267</f>
        <v>200</v>
      </c>
      <c r="F267">
        <f>E267*12</f>
        <v>2400</v>
      </c>
      <c r="G267">
        <f>E267*6</f>
        <v>1200</v>
      </c>
      <c r="H267" t="str">
        <v/>
      </c>
      <c r="I267">
        <f>E267*Assumptions!$B$4</f>
        <v>18890</v>
      </c>
      <c r="J267">
        <f>F267*Assumptions!$B$4</f>
        <v>226680</v>
      </c>
      <c r="K267">
        <f>G267*Assumptions!$B$4</f>
        <v>113340</v>
      </c>
    </row>
    <row r="268">
      <c r="A268" t="str">
        <v>Team Subtotal</v>
      </c>
      <c r="B268" t="str">
        <v/>
      </c>
      <c r="C268" t="str">
        <v/>
      </c>
      <c r="D268" t="str">
        <v/>
      </c>
      <c r="E268">
        <f>SUM(E256:E267)</f>
        <v>74607.70778189518</v>
      </c>
      <c r="F268">
        <f>E268*12</f>
        <v>895292.4933827422</v>
      </c>
      <c r="G268">
        <f>E268*6</f>
        <v>447646.2466913711</v>
      </c>
      <c r="H268" t="str">
        <v/>
      </c>
      <c r="I268">
        <f>E268*Assumptions!$B$4</f>
        <v>7046698</v>
      </c>
      <c r="J268">
        <f>F268*Assumptions!$B$4</f>
        <v>84560376</v>
      </c>
      <c r="K268">
        <f>G268*Assumptions!$B$4</f>
        <v>42280188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</row>
    <row r="270">
      <c r="A270" t="str">
        <v>Customer Acquisition (CAC-based)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</row>
    <row r="271">
      <c r="A271" t="str">
        <v>New user acquisition (paid + organic, blended)</v>
      </c>
      <c r="B271" t="str">
        <v>New users/mo</v>
      </c>
      <c r="C271">
        <v>8333</v>
      </c>
      <c r="D271">
        <f>Assumptions!$B$26</f>
        <v>4</v>
      </c>
      <c r="E271">
        <f>C271*D271</f>
        <v>33332</v>
      </c>
      <c r="F271">
        <f>E271*12</f>
        <v>399984</v>
      </c>
      <c r="G271">
        <f>E271*6</f>
        <v>199992</v>
      </c>
      <c r="H271" t="str">
        <v>50,000 net-new users over Months 31-36 (50,000→100,000) ÷ 6mo = 8,333/mo net-new × Year 3 blended CAC ($4). Added 2026-09-08 -- previously the CAC stated in the Pitch Deck's unit-economics table was never charged against this cost model.</v>
      </c>
      <c r="I271">
        <f>E271*Assumptions!$B$4</f>
        <v>3148207.4</v>
      </c>
      <c r="J271">
        <f>F271*Assumptions!$B$4</f>
        <v>37778488.800000004</v>
      </c>
      <c r="K271">
        <f>G271*Assumptions!$B$4</f>
        <v>18889244.400000002</v>
      </c>
    </row>
    <row r="272">
      <c r="A272" t="str">
        <v>Customer Acquisition Subtotal</v>
      </c>
      <c r="B272" t="str">
        <v/>
      </c>
      <c r="C272" t="str">
        <v/>
      </c>
      <c r="D272" t="str">
        <v/>
      </c>
      <c r="E272">
        <f>SUM(E271:E271)</f>
        <v>33332</v>
      </c>
      <c r="F272">
        <f>E272*12</f>
        <v>399984</v>
      </c>
      <c r="G272">
        <f>E272*6</f>
        <v>199992</v>
      </c>
      <c r="H272" t="str">
        <v/>
      </c>
      <c r="I272">
        <f>E272*Assumptions!$B$4</f>
        <v>3148207.4</v>
      </c>
      <c r="J272">
        <f>F272*Assumptions!$B$4</f>
        <v>37778488.800000004</v>
      </c>
      <c r="K272">
        <f>G272*Assumptions!$B$4</f>
        <v>18889244.400000002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</row>
    <row r="274">
      <c r="A274" t="str">
        <v>Operating Costs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</row>
    <row r="275">
      <c r="A275" t="str">
        <v>SaaS Tools (Jira, Slack, etc.)</v>
      </c>
      <c r="B275" t="str">
        <v>Month</v>
      </c>
      <c r="C275">
        <v>1</v>
      </c>
      <c r="D275">
        <v>300</v>
      </c>
      <c r="E275">
        <f>C275*D275</f>
        <v>300</v>
      </c>
      <c r="F275">
        <f>E275*12</f>
        <v>3600</v>
      </c>
      <c r="G275">
        <f>E275*6</f>
        <v>1800</v>
      </c>
      <c r="H275" t="str">
        <v/>
      </c>
      <c r="I275">
        <f>E275*Assumptions!$B$4</f>
        <v>28335</v>
      </c>
      <c r="J275">
        <f>F275*Assumptions!$B$4</f>
        <v>340020</v>
      </c>
      <c r="K275">
        <f>G275*Assumptions!$B$4</f>
        <v>170010</v>
      </c>
    </row>
    <row r="276">
      <c r="A276" t="str">
        <v>DevOps Tools (CI/CD, monitoring)</v>
      </c>
      <c r="B276" t="str">
        <v>Month</v>
      </c>
      <c r="C276">
        <v>1</v>
      </c>
      <c r="D276">
        <v>200</v>
      </c>
      <c r="E276">
        <f>C276*D276</f>
        <v>200</v>
      </c>
      <c r="F276">
        <f>E276*12</f>
        <v>2400</v>
      </c>
      <c r="G276">
        <f>E276*6</f>
        <v>1200</v>
      </c>
      <c r="H276" t="str">
        <v/>
      </c>
      <c r="I276">
        <f>E276*Assumptions!$B$4</f>
        <v>18890</v>
      </c>
      <c r="J276">
        <f>F276*Assumptions!$B$4</f>
        <v>226680</v>
      </c>
      <c r="K276">
        <f>G276*Assumptions!$B$4</f>
        <v>113340</v>
      </c>
    </row>
    <row r="277">
      <c r="A277" t="str">
        <v>Communication &amp; Collaboration</v>
      </c>
      <c r="B277" t="str">
        <v>Month</v>
      </c>
      <c r="C277">
        <v>1</v>
      </c>
      <c r="D277">
        <v>150</v>
      </c>
      <c r="E277">
        <f>C277*D277</f>
        <v>150</v>
      </c>
      <c r="F277">
        <f>E277*12</f>
        <v>1800</v>
      </c>
      <c r="G277">
        <f>E277*6</f>
        <v>900</v>
      </c>
      <c r="H277" t="str">
        <v/>
      </c>
      <c r="I277">
        <f>E277*Assumptions!$B$4</f>
        <v>14167.5</v>
      </c>
      <c r="J277">
        <f>F277*Assumptions!$B$4</f>
        <v>170010</v>
      </c>
      <c r="K277">
        <f>G277*Assumptions!$B$4</f>
        <v>85005</v>
      </c>
    </row>
    <row r="278">
      <c r="A278" t="str">
        <v>Professional Development</v>
      </c>
      <c r="B278" t="str">
        <v>Month</v>
      </c>
      <c r="C278">
        <v>1</v>
      </c>
      <c r="D278">
        <v>200</v>
      </c>
      <c r="E278">
        <f>C278*D278</f>
        <v>200</v>
      </c>
      <c r="F278">
        <f>E278*12</f>
        <v>2400</v>
      </c>
      <c r="G278">
        <f>E278*6</f>
        <v>1200</v>
      </c>
      <c r="H278" t="str">
        <v/>
      </c>
      <c r="I278">
        <f>E278*Assumptions!$B$4</f>
        <v>18890</v>
      </c>
      <c r="J278">
        <f>F278*Assumptions!$B$4</f>
        <v>226680</v>
      </c>
      <c r="K278">
        <f>G278*Assumptions!$B$4</f>
        <v>113340</v>
      </c>
    </row>
    <row r="279">
      <c r="A279" t="str">
        <v>Insurance &amp; Compliance</v>
      </c>
      <c r="B279" t="str">
        <v>Month</v>
      </c>
      <c r="C279">
        <v>1</v>
      </c>
      <c r="D279">
        <v>300</v>
      </c>
      <c r="E279">
        <f>C279*D279</f>
        <v>300</v>
      </c>
      <c r="F279">
        <f>E279*12</f>
        <v>3600</v>
      </c>
      <c r="G279">
        <f>E279*6</f>
        <v>1800</v>
      </c>
      <c r="H279" t="str">
        <v/>
      </c>
      <c r="I279">
        <f>E279*Assumptions!$B$4</f>
        <v>28335</v>
      </c>
      <c r="J279">
        <f>F279*Assumptions!$B$4</f>
        <v>340020</v>
      </c>
      <c r="K279">
        <f>G279*Assumptions!$B$4</f>
        <v>170010</v>
      </c>
    </row>
    <row r="280">
      <c r="A280" t="str">
        <v>Marketing &amp; Community</v>
      </c>
      <c r="B280" t="str">
        <v>Month</v>
      </c>
      <c r="C280">
        <v>1</v>
      </c>
      <c r="D280">
        <v>500</v>
      </c>
      <c r="E280">
        <f>C280*D280</f>
        <v>500</v>
      </c>
      <c r="F280">
        <f>E280*12</f>
        <v>6000</v>
      </c>
      <c r="G280">
        <f>E280*6</f>
        <v>3000</v>
      </c>
      <c r="H280" t="str">
        <v/>
      </c>
      <c r="I280">
        <f>E280*Assumptions!$B$4</f>
        <v>47225</v>
      </c>
      <c r="J280">
        <f>F280*Assumptions!$B$4</f>
        <v>566700</v>
      </c>
      <c r="K280">
        <f>G280*Assumptions!$B$4</f>
        <v>283350</v>
      </c>
    </row>
    <row r="281">
      <c r="A281" t="str">
        <v>Operating Subtotal</v>
      </c>
      <c r="B281" t="str">
        <v/>
      </c>
      <c r="C281" t="str">
        <v/>
      </c>
      <c r="D281" t="str">
        <v/>
      </c>
      <c r="E281">
        <f>SUM(E275:E280)</f>
        <v>1650</v>
      </c>
      <c r="F281">
        <f>E281*12</f>
        <v>19800</v>
      </c>
      <c r="G281">
        <f>E281*6</f>
        <v>9900</v>
      </c>
      <c r="H281" t="str">
        <v/>
      </c>
      <c r="I281">
        <f>E281*Assumptions!$B$4</f>
        <v>155842.5</v>
      </c>
      <c r="J281">
        <f>F281*Assumptions!$B$4</f>
        <v>1870110</v>
      </c>
      <c r="K281">
        <f>G281*Assumptions!$B$4</f>
        <v>935055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</row>
    <row r="283">
      <c r="A283" t="str">
        <v>TOTAL MONTHLY COST</v>
      </c>
      <c r="B283" t="str">
        <v/>
      </c>
      <c r="C283" t="str">
        <v/>
      </c>
      <c r="D283" t="str">
        <v/>
      </c>
      <c r="E283">
        <f>E253+E268+E272+E281</f>
        <v>128089.70778189518</v>
      </c>
      <c r="F283">
        <f>E283*12</f>
        <v>1537076.4933827422</v>
      </c>
      <c r="G283">
        <f>E283*6</f>
        <v>768538.2466913711</v>
      </c>
      <c r="H283" t="str">
        <v/>
      </c>
      <c r="I283">
        <f>E283*Assumptions!$B$4</f>
        <v>12098072.9</v>
      </c>
      <c r="J283">
        <f>F283*Assumptions!$B$4</f>
        <v>145176874.8</v>
      </c>
      <c r="K283">
        <f>G283*Assumptions!$B$4</f>
        <v>72588437.4</v>
      </c>
    </row>
    <row r="284">
      <c r="A284" t="str">
        <v>Cost per User (Monthly)</v>
      </c>
      <c r="B284" t="str">
        <v/>
      </c>
      <c r="C284" t="str">
        <v/>
      </c>
      <c r="D284" t="str">
        <v/>
      </c>
      <c r="E284">
        <f>E283/100000</f>
        <v>1.280897077818952</v>
      </c>
      <c r="F284" t="str">
        <v/>
      </c>
      <c r="G284" t="str">
        <v/>
      </c>
      <c r="H284" t="str">
        <v/>
      </c>
      <c r="I284">
        <f>E284*Assumptions!$B$4</f>
        <v>120.98072900000001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</row>
  </sheetData>
  <ignoredErrors>
    <ignoredError numberStoredAsText="1" sqref="A1:K28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6"/>
  <sheetViews>
    <sheetView workbookViewId="0"/>
  </sheetViews>
  <sheetData>
    <row r="1">
      <c r="A1" t="str">
        <v>Greyin — 3-Year Budget Projection (Hybrid)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Generated: 2026-09-08 — every cost below is driven by the Assumptions sheet; edit the exchange rate, a salary cell, or a CAC-by-year cell there and this whole sheet recalculates.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Month 1 — 100 Users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Category</v>
      </c>
      <c r="B5" t="str">
        <v>Unit</v>
      </c>
      <c r="C5" t="str">
        <v>Quantity</v>
      </c>
      <c r="D5" t="str">
        <v>Unit Cost (USD)</v>
      </c>
      <c r="E5" t="str">
        <v>Monthly Cost (USD)</v>
      </c>
      <c r="F5" t="str">
        <v>Annual Cost (USD)</v>
      </c>
      <c r="G5" t="str">
        <v>6-Month Cost (USD)</v>
      </c>
      <c r="H5" t="str">
        <v>Notes</v>
      </c>
      <c r="I5" t="str">
        <v>Monthly Cost (INR)</v>
      </c>
      <c r="J5" t="str">
        <v>Annual Cost (INR)</v>
      </c>
      <c r="K5" t="str">
        <v>6-Month Cost (INR)</v>
      </c>
    </row>
    <row r="6">
      <c r="A6" t="str">
        <v>AWS Infrastructure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compute</v>
      </c>
      <c r="B7" t="str">
        <v>Month</v>
      </c>
      <c r="C7">
        <v>1</v>
      </c>
      <c r="D7">
        <v>100</v>
      </c>
      <c r="E7">
        <f>C7*D7</f>
        <v>100</v>
      </c>
      <c r="F7">
        <f>E7*12</f>
        <v>1200</v>
      </c>
      <c r="G7">
        <f>E7*6</f>
        <v>600</v>
      </c>
      <c r="H7" t="str">
        <v/>
      </c>
      <c r="I7">
        <f>E7*Assumptions!$B$4</f>
        <v>9445</v>
      </c>
      <c r="J7">
        <f>F7*Assumptions!$B$4</f>
        <v>113340</v>
      </c>
      <c r="K7">
        <f>G7*Assumptions!$B$4</f>
        <v>56670</v>
      </c>
    </row>
    <row r="8">
      <c r="A8" t="str">
        <v>database</v>
      </c>
      <c r="B8" t="str">
        <v>Month</v>
      </c>
      <c r="C8">
        <v>1</v>
      </c>
      <c r="D8">
        <v>50</v>
      </c>
      <c r="E8">
        <f>C8*D8</f>
        <v>50</v>
      </c>
      <c r="F8">
        <f>E8*12</f>
        <v>600</v>
      </c>
      <c r="G8">
        <f>E8*6</f>
        <v>300</v>
      </c>
      <c r="H8" t="str">
        <v/>
      </c>
      <c r="I8">
        <f>E8*Assumptions!$B$4</f>
        <v>4722.5</v>
      </c>
      <c r="J8">
        <f>F8*Assumptions!$B$4</f>
        <v>56670</v>
      </c>
      <c r="K8">
        <f>G8*Assumptions!$B$4</f>
        <v>28335</v>
      </c>
    </row>
    <row r="9">
      <c r="A9" t="str">
        <v>storage</v>
      </c>
      <c r="B9" t="str">
        <v>Month</v>
      </c>
      <c r="C9">
        <v>1</v>
      </c>
      <c r="D9">
        <v>25</v>
      </c>
      <c r="E9">
        <f>C9*D9</f>
        <v>25</v>
      </c>
      <c r="F9">
        <f>E9*12</f>
        <v>300</v>
      </c>
      <c r="G9">
        <f>E9*6</f>
        <v>150</v>
      </c>
      <c r="H9" t="str">
        <v/>
      </c>
      <c r="I9">
        <f>E9*Assumptions!$B$4</f>
        <v>2361.25</v>
      </c>
      <c r="J9">
        <f>F9*Assumptions!$B$4</f>
        <v>28335</v>
      </c>
      <c r="K9">
        <f>G9*Assumptions!$B$4</f>
        <v>14167.5</v>
      </c>
    </row>
    <row r="10">
      <c r="A10" t="str">
        <v>networking</v>
      </c>
      <c r="B10" t="str">
        <v>Month</v>
      </c>
      <c r="C10">
        <v>1</v>
      </c>
      <c r="D10">
        <v>15</v>
      </c>
      <c r="E10">
        <f>C10*D10</f>
        <v>15</v>
      </c>
      <c r="F10">
        <f>E10*12</f>
        <v>180</v>
      </c>
      <c r="G10">
        <f>E10*6</f>
        <v>90</v>
      </c>
      <c r="H10" t="str">
        <v/>
      </c>
      <c r="I10">
        <f>E10*Assumptions!$B$4</f>
        <v>1416.75</v>
      </c>
      <c r="J10">
        <f>F10*Assumptions!$B$4</f>
        <v>17001</v>
      </c>
      <c r="K10">
        <f>G10*Assumptions!$B$4</f>
        <v>8500.5</v>
      </c>
    </row>
    <row r="11">
      <c r="A11" t="str">
        <v>data_transfer</v>
      </c>
      <c r="B11" t="str">
        <v>Month</v>
      </c>
      <c r="C11">
        <v>1</v>
      </c>
      <c r="D11">
        <v>20</v>
      </c>
      <c r="E11">
        <f>C11*D11</f>
        <v>20</v>
      </c>
      <c r="F11">
        <f>E11*12</f>
        <v>240</v>
      </c>
      <c r="G11">
        <f>E11*6</f>
        <v>120</v>
      </c>
      <c r="H11" t="str">
        <v/>
      </c>
      <c r="I11">
        <f>E11*Assumptions!$B$4</f>
        <v>1889</v>
      </c>
      <c r="J11">
        <f>F11*Assumptions!$B$4</f>
        <v>22668</v>
      </c>
      <c r="K11">
        <f>G11*Assumptions!$B$4</f>
        <v>11334</v>
      </c>
    </row>
    <row r="12">
      <c r="A12" t="str">
        <v>monitoring</v>
      </c>
      <c r="B12" t="str">
        <v>Month</v>
      </c>
      <c r="C12">
        <v>1</v>
      </c>
      <c r="D12">
        <v>10</v>
      </c>
      <c r="E12">
        <f>C12*D12</f>
        <v>10</v>
      </c>
      <c r="F12">
        <f>E12*12</f>
        <v>120</v>
      </c>
      <c r="G12">
        <f>E12*6</f>
        <v>60</v>
      </c>
      <c r="H12" t="str">
        <v/>
      </c>
      <c r="I12">
        <f>E12*Assumptions!$B$4</f>
        <v>944.5</v>
      </c>
      <c r="J12">
        <f>F12*Assumptions!$B$4</f>
        <v>11334</v>
      </c>
      <c r="K12">
        <f>G12*Assumptions!$B$4</f>
        <v>5667</v>
      </c>
    </row>
    <row r="13">
      <c r="A13" t="str">
        <v>backups</v>
      </c>
      <c r="B13" t="str">
        <v>Month</v>
      </c>
      <c r="C13">
        <v>1</v>
      </c>
      <c r="D13">
        <v>10</v>
      </c>
      <c r="E13">
        <f>C13*D13</f>
        <v>10</v>
      </c>
      <c r="F13">
        <f>E13*12</f>
        <v>120</v>
      </c>
      <c r="G13">
        <f>E13*6</f>
        <v>60</v>
      </c>
      <c r="H13" t="str">
        <v/>
      </c>
      <c r="I13">
        <f>E13*Assumptions!$B$4</f>
        <v>944.5</v>
      </c>
      <c r="J13">
        <f>F13*Assumptions!$B$4</f>
        <v>11334</v>
      </c>
      <c r="K13">
        <f>G13*Assumptions!$B$4</f>
        <v>5667</v>
      </c>
    </row>
    <row r="14">
      <c r="A14" t="str">
        <v>AWS Subtotal</v>
      </c>
      <c r="B14" t="str">
        <v/>
      </c>
      <c r="C14" t="str">
        <v/>
      </c>
      <c r="D14" t="str">
        <v/>
      </c>
      <c r="E14">
        <f>SUM(E7:E13)</f>
        <v>230</v>
      </c>
      <c r="F14">
        <f>E14*12</f>
        <v>2760</v>
      </c>
      <c r="G14">
        <f>E14*6</f>
        <v>1380</v>
      </c>
      <c r="H14" t="str">
        <v/>
      </c>
      <c r="I14">
        <f>E14*Assumptions!$B$4</f>
        <v>21723.5</v>
      </c>
      <c r="J14">
        <f>F14*Assumptions!$B$4</f>
        <v>260682</v>
      </c>
      <c r="K14">
        <f>G14*Assumptions!$B$4</f>
        <v>130341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Engineering Team (India-based)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Senior Dev</v>
      </c>
      <c r="B17" t="str">
        <v>Person</v>
      </c>
      <c r="C17">
        <v>1</v>
      </c>
      <c r="D17">
        <f>Assumptions!$B$11/Assumptions!$B$4</f>
        <v>3529.2006352567496</v>
      </c>
      <c r="E17">
        <f>C17*D17</f>
        <v>3529.2006352567496</v>
      </c>
      <c r="F17">
        <f>E17*12</f>
        <v>42350.407623080995</v>
      </c>
      <c r="G17">
        <f>E17*6</f>
        <v>21175.203811540498</v>
      </c>
      <c r="H17" t="str">
        <v/>
      </c>
      <c r="I17">
        <f>E17*Assumptions!$B$4</f>
        <v>333333</v>
      </c>
      <c r="J17">
        <f>F17*Assumptions!$B$4</f>
        <v>3999996</v>
      </c>
      <c r="K17">
        <f>G17*Assumptions!$B$4</f>
        <v>1999998</v>
      </c>
    </row>
    <row r="18">
      <c r="A18" t="str">
        <v>Junior Dev</v>
      </c>
      <c r="B18" t="str">
        <v>Person</v>
      </c>
      <c r="C18">
        <v>1</v>
      </c>
      <c r="D18">
        <f>Assumptions!$B$9/Assumptions!$B$4</f>
        <v>882.297511911064</v>
      </c>
      <c r="E18">
        <f>C18*D18</f>
        <v>882.297511911064</v>
      </c>
      <c r="F18">
        <f>E18*12</f>
        <v>10587.570142932767</v>
      </c>
      <c r="G18">
        <f>E18*6</f>
        <v>5293.785071466384</v>
      </c>
      <c r="H18" t="str">
        <v/>
      </c>
      <c r="I18">
        <f>E18*Assumptions!$B$4</f>
        <v>83333</v>
      </c>
      <c r="J18">
        <f>F18*Assumptions!$B$4</f>
        <v>999995.9999999999</v>
      </c>
      <c r="K18">
        <f>G18*Assumptions!$B$4</f>
        <v>499997.99999999994</v>
      </c>
    </row>
    <row r="19">
      <c r="A19" t="str">
        <v>Shared Flex Office (2-3 days/week)</v>
      </c>
      <c r="B19" t="str">
        <v>Month</v>
      </c>
      <c r="C19">
        <v>1</v>
      </c>
      <c r="D19">
        <v>1200</v>
      </c>
      <c r="E19">
        <f>C19*D19</f>
        <v>1200</v>
      </c>
      <c r="F19">
        <f>E19*12</f>
        <v>14400</v>
      </c>
      <c r="G19">
        <f>E19*6</f>
        <v>7200</v>
      </c>
      <c r="H19" t="str">
        <v/>
      </c>
      <c r="I19">
        <f>E19*Assumptions!$B$4</f>
        <v>113340</v>
      </c>
      <c r="J19">
        <f>F19*Assumptions!$B$4</f>
        <v>1360080</v>
      </c>
      <c r="K19">
        <f>G19*Assumptions!$B$4</f>
        <v>680040</v>
      </c>
    </row>
    <row r="20">
      <c r="A20" t="str">
        <v>Utilities &amp; Stipend</v>
      </c>
      <c r="B20" t="str">
        <v>Month</v>
      </c>
      <c r="C20">
        <v>1</v>
      </c>
      <c r="D20">
        <v>300</v>
      </c>
      <c r="E20">
        <f>C20*D20</f>
        <v>300</v>
      </c>
      <c r="F20">
        <f>E20*12</f>
        <v>3600</v>
      </c>
      <c r="G20">
        <f>E20*6</f>
        <v>1800</v>
      </c>
      <c r="H20" t="str">
        <v/>
      </c>
      <c r="I20">
        <f>E20*Assumptions!$B$4</f>
        <v>28335</v>
      </c>
      <c r="J20">
        <f>F20*Assumptions!$B$4</f>
        <v>340020</v>
      </c>
      <c r="K20">
        <f>G20*Assumptions!$B$4</f>
        <v>170010</v>
      </c>
    </row>
    <row r="21">
      <c r="A21" t="str">
        <v>Team Subtotal</v>
      </c>
      <c r="B21" t="str">
        <v/>
      </c>
      <c r="C21" t="str">
        <v/>
      </c>
      <c r="D21" t="str">
        <v/>
      </c>
      <c r="E21">
        <f>SUM(E17:E20)</f>
        <v>5911.498147167814</v>
      </c>
      <c r="F21">
        <f>E21*12</f>
        <v>70937.97776601376</v>
      </c>
      <c r="G21">
        <f>E21*6</f>
        <v>35468.98888300688</v>
      </c>
      <c r="H21" t="str">
        <v/>
      </c>
      <c r="I21">
        <f>E21*Assumptions!$B$4</f>
        <v>558341</v>
      </c>
      <c r="J21">
        <f>F21*Assumptions!$B$4</f>
        <v>6700092</v>
      </c>
      <c r="K21">
        <f>G21*Assumptions!$B$4</f>
        <v>3350046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Customer Acquisition (CAC-based)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New user acquisition (paid + organic, blended)</v>
      </c>
      <c r="B24" t="str">
        <v>New users/mo</v>
      </c>
      <c r="C24">
        <v>100</v>
      </c>
      <c r="D24">
        <f>Assumptions!$B$24</f>
        <v>8</v>
      </c>
      <c r="E24">
        <f>C24*D24</f>
        <v>800</v>
      </c>
      <c r="F24">
        <f>E24*12</f>
        <v>9600</v>
      </c>
      <c r="G24">
        <f>E24*6</f>
        <v>4800</v>
      </c>
      <c r="H24" t="str">
        <v>Launch: ~100 users acquired in Month 1 = 100/mo net-new × Year 1 blended CAC ($8). Added 2026-09-08 -- previously the CAC stated in the Pitch Deck's unit-economics table was never charged against this cost model.</v>
      </c>
      <c r="I24">
        <f>E24*Assumptions!$B$4</f>
        <v>75560</v>
      </c>
      <c r="J24">
        <f>F24*Assumptions!$B$4</f>
        <v>906720</v>
      </c>
      <c r="K24">
        <f>G24*Assumptions!$B$4</f>
        <v>453360</v>
      </c>
    </row>
    <row r="25">
      <c r="A25" t="str">
        <v>Customer Acquisition Subtotal</v>
      </c>
      <c r="B25" t="str">
        <v/>
      </c>
      <c r="C25" t="str">
        <v/>
      </c>
      <c r="D25" t="str">
        <v/>
      </c>
      <c r="E25">
        <f>SUM(E24:E24)</f>
        <v>800</v>
      </c>
      <c r="F25">
        <f>E25*12</f>
        <v>9600</v>
      </c>
      <c r="G25">
        <f>E25*6</f>
        <v>4800</v>
      </c>
      <c r="H25" t="str">
        <v/>
      </c>
      <c r="I25">
        <f>E25*Assumptions!$B$4</f>
        <v>75560</v>
      </c>
      <c r="J25">
        <f>F25*Assumptions!$B$4</f>
        <v>906720</v>
      </c>
      <c r="K25">
        <f>G25*Assumptions!$B$4</f>
        <v>453360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Operating Costs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SaaS Tools (Jira, Slack, etc.)</v>
      </c>
      <c r="B28" t="str">
        <v>Month</v>
      </c>
      <c r="C28">
        <v>1</v>
      </c>
      <c r="D28">
        <v>300</v>
      </c>
      <c r="E28">
        <f>C28*D28</f>
        <v>300</v>
      </c>
      <c r="F28">
        <f>E28*12</f>
        <v>3600</v>
      </c>
      <c r="G28">
        <f>E28*6</f>
        <v>1800</v>
      </c>
      <c r="H28" t="str">
        <v/>
      </c>
      <c r="I28">
        <f>E28*Assumptions!$B$4</f>
        <v>28335</v>
      </c>
      <c r="J28">
        <f>F28*Assumptions!$B$4</f>
        <v>340020</v>
      </c>
      <c r="K28">
        <f>G28*Assumptions!$B$4</f>
        <v>170010</v>
      </c>
    </row>
    <row r="29">
      <c r="A29" t="str">
        <v>DevOps Tools (CI/CD, monitoring)</v>
      </c>
      <c r="B29" t="str">
        <v>Month</v>
      </c>
      <c r="C29">
        <v>1</v>
      </c>
      <c r="D29">
        <v>200</v>
      </c>
      <c r="E29">
        <f>C29*D29</f>
        <v>200</v>
      </c>
      <c r="F29">
        <f>E29*12</f>
        <v>2400</v>
      </c>
      <c r="G29">
        <f>E29*6</f>
        <v>1200</v>
      </c>
      <c r="H29" t="str">
        <v/>
      </c>
      <c r="I29">
        <f>E29*Assumptions!$B$4</f>
        <v>18890</v>
      </c>
      <c r="J29">
        <f>F29*Assumptions!$B$4</f>
        <v>226680</v>
      </c>
      <c r="K29">
        <f>G29*Assumptions!$B$4</f>
        <v>113340</v>
      </c>
    </row>
    <row r="30">
      <c r="A30" t="str">
        <v>Communication &amp; Collaboration</v>
      </c>
      <c r="B30" t="str">
        <v>Month</v>
      </c>
      <c r="C30">
        <v>1</v>
      </c>
      <c r="D30">
        <v>150</v>
      </c>
      <c r="E30">
        <f>C30*D30</f>
        <v>150</v>
      </c>
      <c r="F30">
        <f>E30*12</f>
        <v>1800</v>
      </c>
      <c r="G30">
        <f>E30*6</f>
        <v>900</v>
      </c>
      <c r="H30" t="str">
        <v/>
      </c>
      <c r="I30">
        <f>E30*Assumptions!$B$4</f>
        <v>14167.5</v>
      </c>
      <c r="J30">
        <f>F30*Assumptions!$B$4</f>
        <v>170010</v>
      </c>
      <c r="K30">
        <f>G30*Assumptions!$B$4</f>
        <v>85005</v>
      </c>
    </row>
    <row r="31">
      <c r="A31" t="str">
        <v>Professional Development</v>
      </c>
      <c r="B31" t="str">
        <v>Month</v>
      </c>
      <c r="C31">
        <v>1</v>
      </c>
      <c r="D31">
        <v>200</v>
      </c>
      <c r="E31">
        <f>C31*D31</f>
        <v>200</v>
      </c>
      <c r="F31">
        <f>E31*12</f>
        <v>2400</v>
      </c>
      <c r="G31">
        <f>E31*6</f>
        <v>1200</v>
      </c>
      <c r="H31" t="str">
        <v/>
      </c>
      <c r="I31">
        <f>E31*Assumptions!$B$4</f>
        <v>18890</v>
      </c>
      <c r="J31">
        <f>F31*Assumptions!$B$4</f>
        <v>226680</v>
      </c>
      <c r="K31">
        <f>G31*Assumptions!$B$4</f>
        <v>113340</v>
      </c>
    </row>
    <row r="32">
      <c r="A32" t="str">
        <v>Insurance &amp; Compliance</v>
      </c>
      <c r="B32" t="str">
        <v>Month</v>
      </c>
      <c r="C32">
        <v>1</v>
      </c>
      <c r="D32">
        <v>300</v>
      </c>
      <c r="E32">
        <f>C32*D32</f>
        <v>300</v>
      </c>
      <c r="F32">
        <f>E32*12</f>
        <v>3600</v>
      </c>
      <c r="G32">
        <f>E32*6</f>
        <v>1800</v>
      </c>
      <c r="H32" t="str">
        <v/>
      </c>
      <c r="I32">
        <f>E32*Assumptions!$B$4</f>
        <v>28335</v>
      </c>
      <c r="J32">
        <f>F32*Assumptions!$B$4</f>
        <v>340020</v>
      </c>
      <c r="K32">
        <f>G32*Assumptions!$B$4</f>
        <v>170010</v>
      </c>
    </row>
    <row r="33">
      <c r="A33" t="str">
        <v>Marketing &amp; Community</v>
      </c>
      <c r="B33" t="str">
        <v>Month</v>
      </c>
      <c r="C33">
        <v>1</v>
      </c>
      <c r="D33">
        <v>500</v>
      </c>
      <c r="E33">
        <f>C33*D33</f>
        <v>500</v>
      </c>
      <c r="F33">
        <f>E33*12</f>
        <v>6000</v>
      </c>
      <c r="G33">
        <f>E33*6</f>
        <v>3000</v>
      </c>
      <c r="H33" t="str">
        <v/>
      </c>
      <c r="I33">
        <f>E33*Assumptions!$B$4</f>
        <v>47225</v>
      </c>
      <c r="J33">
        <f>F33*Assumptions!$B$4</f>
        <v>566700</v>
      </c>
      <c r="K33">
        <f>G33*Assumptions!$B$4</f>
        <v>283350</v>
      </c>
    </row>
    <row r="34">
      <c r="A34" t="str">
        <v>Operating Subtotal</v>
      </c>
      <c r="B34" t="str">
        <v/>
      </c>
      <c r="C34" t="str">
        <v/>
      </c>
      <c r="D34" t="str">
        <v/>
      </c>
      <c r="E34">
        <f>SUM(E28:E33)</f>
        <v>1650</v>
      </c>
      <c r="F34">
        <f>E34*12</f>
        <v>19800</v>
      </c>
      <c r="G34">
        <f>E34*6</f>
        <v>9900</v>
      </c>
      <c r="H34" t="str">
        <v/>
      </c>
      <c r="I34">
        <f>E34*Assumptions!$B$4</f>
        <v>155842.5</v>
      </c>
      <c r="J34">
        <f>F34*Assumptions!$B$4</f>
        <v>1870110</v>
      </c>
      <c r="K34">
        <f>G34*Assumptions!$B$4</f>
        <v>935055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TOTAL MONTHLY COST</v>
      </c>
      <c r="B36" t="str">
        <v/>
      </c>
      <c r="C36" t="str">
        <v/>
      </c>
      <c r="D36" t="str">
        <v/>
      </c>
      <c r="E36">
        <f>E14+E21+E25+E34</f>
        <v>8591.498147167815</v>
      </c>
      <c r="F36">
        <f>E36*12</f>
        <v>103097.97776601378</v>
      </c>
      <c r="G36">
        <f>E36*6</f>
        <v>51548.98888300689</v>
      </c>
      <c r="H36" t="str">
        <v/>
      </c>
      <c r="I36">
        <f>E36*Assumptions!$B$4</f>
        <v>811467.0000000001</v>
      </c>
      <c r="J36">
        <f>F36*Assumptions!$B$4</f>
        <v>9737604.000000002</v>
      </c>
      <c r="K36">
        <f>G36*Assumptions!$B$4</f>
        <v>4868802.000000001</v>
      </c>
    </row>
    <row r="37">
      <c r="A37" t="str">
        <v>Cost per User (Monthly)</v>
      </c>
      <c r="B37" t="str">
        <v/>
      </c>
      <c r="C37" t="str">
        <v/>
      </c>
      <c r="D37" t="str">
        <v/>
      </c>
      <c r="E37">
        <f>E36/100</f>
        <v>85.91498147167815</v>
      </c>
      <c r="F37" t="str">
        <v/>
      </c>
      <c r="G37" t="str">
        <v/>
      </c>
      <c r="H37" t="str">
        <v/>
      </c>
      <c r="I37">
        <f>E37*Assumptions!$B$4</f>
        <v>8114.670000000001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Month 6 — 1,000 Users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Category</v>
      </c>
      <c r="B41" t="str">
        <v>Unit</v>
      </c>
      <c r="C41" t="str">
        <v>Quantity</v>
      </c>
      <c r="D41" t="str">
        <v>Unit Cost (USD)</v>
      </c>
      <c r="E41" t="str">
        <v>Monthly Cost (USD)</v>
      </c>
      <c r="F41" t="str">
        <v>Annual Cost (USD)</v>
      </c>
      <c r="G41" t="str">
        <v>6-Month Cost (USD)</v>
      </c>
      <c r="H41" t="str">
        <v>Notes</v>
      </c>
      <c r="I41" t="str">
        <v>Monthly Cost (INR)</v>
      </c>
      <c r="J41" t="str">
        <v>Annual Cost (INR)</v>
      </c>
      <c r="K41" t="str">
        <v>6-Month Cost (INR)</v>
      </c>
    </row>
    <row r="42">
      <c r="A42" t="str">
        <v>AWS Infrastructure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compute</v>
      </c>
      <c r="B43" t="str">
        <v>Month</v>
      </c>
      <c r="C43">
        <v>1</v>
      </c>
      <c r="D43">
        <v>250</v>
      </c>
      <c r="E43">
        <f>C43*D43</f>
        <v>250</v>
      </c>
      <c r="F43">
        <f>E43*12</f>
        <v>3000</v>
      </c>
      <c r="G43">
        <f>E43*6</f>
        <v>1500</v>
      </c>
      <c r="H43" t="str">
        <v/>
      </c>
      <c r="I43">
        <f>E43*Assumptions!$B$4</f>
        <v>23612.5</v>
      </c>
      <c r="J43">
        <f>F43*Assumptions!$B$4</f>
        <v>283350</v>
      </c>
      <c r="K43">
        <f>G43*Assumptions!$B$4</f>
        <v>141675</v>
      </c>
    </row>
    <row r="44">
      <c r="A44" t="str">
        <v>database</v>
      </c>
      <c r="B44" t="str">
        <v>Month</v>
      </c>
      <c r="C44">
        <v>1</v>
      </c>
      <c r="D44">
        <v>150</v>
      </c>
      <c r="E44">
        <f>C44*D44</f>
        <v>150</v>
      </c>
      <c r="F44">
        <f>E44*12</f>
        <v>1800</v>
      </c>
      <c r="G44">
        <f>E44*6</f>
        <v>900</v>
      </c>
      <c r="H44" t="str">
        <v/>
      </c>
      <c r="I44">
        <f>E44*Assumptions!$B$4</f>
        <v>14167.5</v>
      </c>
      <c r="J44">
        <f>F44*Assumptions!$B$4</f>
        <v>170010</v>
      </c>
      <c r="K44">
        <f>G44*Assumptions!$B$4</f>
        <v>85005</v>
      </c>
    </row>
    <row r="45">
      <c r="A45" t="str">
        <v>storage</v>
      </c>
      <c r="B45" t="str">
        <v>Month</v>
      </c>
      <c r="C45">
        <v>1</v>
      </c>
      <c r="D45">
        <v>60</v>
      </c>
      <c r="E45">
        <f>C45*D45</f>
        <v>60</v>
      </c>
      <c r="F45">
        <f>E45*12</f>
        <v>720</v>
      </c>
      <c r="G45">
        <f>E45*6</f>
        <v>360</v>
      </c>
      <c r="H45" t="str">
        <v/>
      </c>
      <c r="I45">
        <f>E45*Assumptions!$B$4</f>
        <v>5667</v>
      </c>
      <c r="J45">
        <f>F45*Assumptions!$B$4</f>
        <v>68004</v>
      </c>
      <c r="K45">
        <f>G45*Assumptions!$B$4</f>
        <v>34002</v>
      </c>
    </row>
    <row r="46">
      <c r="A46" t="str">
        <v>networking</v>
      </c>
      <c r="B46" t="str">
        <v>Month</v>
      </c>
      <c r="C46">
        <v>1</v>
      </c>
      <c r="D46">
        <v>40</v>
      </c>
      <c r="E46">
        <f>C46*D46</f>
        <v>40</v>
      </c>
      <c r="F46">
        <f>E46*12</f>
        <v>480</v>
      </c>
      <c r="G46">
        <f>E46*6</f>
        <v>240</v>
      </c>
      <c r="H46" t="str">
        <v/>
      </c>
      <c r="I46">
        <f>E46*Assumptions!$B$4</f>
        <v>3778</v>
      </c>
      <c r="J46">
        <f>F46*Assumptions!$B$4</f>
        <v>45336</v>
      </c>
      <c r="K46">
        <f>G46*Assumptions!$B$4</f>
        <v>22668</v>
      </c>
    </row>
    <row r="47">
      <c r="A47" t="str">
        <v>data_transfer</v>
      </c>
      <c r="B47" t="str">
        <v>Month</v>
      </c>
      <c r="C47">
        <v>1</v>
      </c>
      <c r="D47">
        <v>50</v>
      </c>
      <c r="E47">
        <f>C47*D47</f>
        <v>50</v>
      </c>
      <c r="F47">
        <f>E47*12</f>
        <v>600</v>
      </c>
      <c r="G47">
        <f>E47*6</f>
        <v>300</v>
      </c>
      <c r="H47" t="str">
        <v/>
      </c>
      <c r="I47">
        <f>E47*Assumptions!$B$4</f>
        <v>4722.5</v>
      </c>
      <c r="J47">
        <f>F47*Assumptions!$B$4</f>
        <v>56670</v>
      </c>
      <c r="K47">
        <f>G47*Assumptions!$B$4</f>
        <v>28335</v>
      </c>
    </row>
    <row r="48">
      <c r="A48" t="str">
        <v>monitoring</v>
      </c>
      <c r="B48" t="str">
        <v>Month</v>
      </c>
      <c r="C48">
        <v>1</v>
      </c>
      <c r="D48">
        <v>20</v>
      </c>
      <c r="E48">
        <f>C48*D48</f>
        <v>20</v>
      </c>
      <c r="F48">
        <f>E48*12</f>
        <v>240</v>
      </c>
      <c r="G48">
        <f>E48*6</f>
        <v>120</v>
      </c>
      <c r="H48" t="str">
        <v/>
      </c>
      <c r="I48">
        <f>E48*Assumptions!$B$4</f>
        <v>1889</v>
      </c>
      <c r="J48">
        <f>F48*Assumptions!$B$4</f>
        <v>22668</v>
      </c>
      <c r="K48">
        <f>G48*Assumptions!$B$4</f>
        <v>11334</v>
      </c>
    </row>
    <row r="49">
      <c r="A49" t="str">
        <v>backups</v>
      </c>
      <c r="B49" t="str">
        <v>Month</v>
      </c>
      <c r="C49">
        <v>1</v>
      </c>
      <c r="D49">
        <v>25</v>
      </c>
      <c r="E49">
        <f>C49*D49</f>
        <v>25</v>
      </c>
      <c r="F49">
        <f>E49*12</f>
        <v>300</v>
      </c>
      <c r="G49">
        <f>E49*6</f>
        <v>150</v>
      </c>
      <c r="H49" t="str">
        <v/>
      </c>
      <c r="I49">
        <f>E49*Assumptions!$B$4</f>
        <v>2361.25</v>
      </c>
      <c r="J49">
        <f>F49*Assumptions!$B$4</f>
        <v>28335</v>
      </c>
      <c r="K49">
        <f>G49*Assumptions!$B$4</f>
        <v>14167.5</v>
      </c>
    </row>
    <row r="50">
      <c r="A50" t="str">
        <v>AWS Subtotal</v>
      </c>
      <c r="B50" t="str">
        <v/>
      </c>
      <c r="C50" t="str">
        <v/>
      </c>
      <c r="D50" t="str">
        <v/>
      </c>
      <c r="E50">
        <f>SUM(E43:E49)</f>
        <v>595</v>
      </c>
      <c r="F50">
        <f>E50*12</f>
        <v>7140</v>
      </c>
      <c r="G50">
        <f>E50*6</f>
        <v>3570</v>
      </c>
      <c r="H50" t="str">
        <v/>
      </c>
      <c r="I50">
        <f>E50*Assumptions!$B$4</f>
        <v>56197.75</v>
      </c>
      <c r="J50">
        <f>F50*Assumptions!$B$4</f>
        <v>674373</v>
      </c>
      <c r="K50">
        <f>G50*Assumptions!$B$4</f>
        <v>337186.5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Engineering Team (India-based)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Senior Dev</v>
      </c>
      <c r="B53" t="str">
        <v>Person</v>
      </c>
      <c r="C53">
        <v>1</v>
      </c>
      <c r="D53">
        <f>Assumptions!$B$11/Assumptions!$B$4</f>
        <v>3529.2006352567496</v>
      </c>
      <c r="E53">
        <f>C53*D53</f>
        <v>3529.2006352567496</v>
      </c>
      <c r="F53">
        <f>E53*12</f>
        <v>42350.407623080995</v>
      </c>
      <c r="G53">
        <f>E53*6</f>
        <v>21175.203811540498</v>
      </c>
      <c r="H53" t="str">
        <v/>
      </c>
      <c r="I53">
        <f>E53*Assumptions!$B$4</f>
        <v>333333</v>
      </c>
      <c r="J53">
        <f>F53*Assumptions!$B$4</f>
        <v>3999996</v>
      </c>
      <c r="K53">
        <f>G53*Assumptions!$B$4</f>
        <v>1999998</v>
      </c>
    </row>
    <row r="54">
      <c r="A54" t="str">
        <v>Mid-level Dev</v>
      </c>
      <c r="B54" t="str">
        <v>Person</v>
      </c>
      <c r="C54">
        <v>1</v>
      </c>
      <c r="D54">
        <f>Assumptions!$B$10/Assumptions!$B$4</f>
        <v>1941.0587612493382</v>
      </c>
      <c r="E54">
        <f>C54*D54</f>
        <v>1941.0587612493382</v>
      </c>
      <c r="F54">
        <f>E54*12</f>
        <v>23292.70513499206</v>
      </c>
      <c r="G54">
        <f>E54*6</f>
        <v>11646.35256749603</v>
      </c>
      <c r="H54" t="str">
        <v/>
      </c>
      <c r="I54">
        <f>E54*Assumptions!$B$4</f>
        <v>183333</v>
      </c>
      <c r="J54">
        <f>F54*Assumptions!$B$4</f>
        <v>2199996</v>
      </c>
      <c r="K54">
        <f>G54*Assumptions!$B$4</f>
        <v>1099998</v>
      </c>
    </row>
    <row r="55">
      <c r="A55" t="str">
        <v>Junior Dev</v>
      </c>
      <c r="B55" t="str">
        <v>Person</v>
      </c>
      <c r="C55">
        <v>1</v>
      </c>
      <c r="D55">
        <f>Assumptions!$B$9/Assumptions!$B$4</f>
        <v>882.297511911064</v>
      </c>
      <c r="E55">
        <f>C55*D55</f>
        <v>882.297511911064</v>
      </c>
      <c r="F55">
        <f>E55*12</f>
        <v>10587.570142932767</v>
      </c>
      <c r="G55">
        <f>E55*6</f>
        <v>5293.785071466384</v>
      </c>
      <c r="H55" t="str">
        <v/>
      </c>
      <c r="I55">
        <f>E55*Assumptions!$B$4</f>
        <v>83333</v>
      </c>
      <c r="J55">
        <f>F55*Assumptions!$B$4</f>
        <v>999995.9999999999</v>
      </c>
      <c r="K55">
        <f>G55*Assumptions!$B$4</f>
        <v>499997.99999999994</v>
      </c>
    </row>
    <row r="56">
      <c r="A56" t="str">
        <v>DevOps</v>
      </c>
      <c r="B56" t="str">
        <v>Person</v>
      </c>
      <c r="C56">
        <v>0.5</v>
      </c>
      <c r="D56">
        <f>Assumptions!$B$13/Assumptions!$B$4</f>
        <v>1941.0587612493382</v>
      </c>
      <c r="E56">
        <f>C56*D56</f>
        <v>970.5293806246691</v>
      </c>
      <c r="F56">
        <f>E56*12</f>
        <v>11646.35256749603</v>
      </c>
      <c r="G56">
        <f>E56*6</f>
        <v>5823.176283748015</v>
      </c>
      <c r="H56" t="str">
        <v/>
      </c>
      <c r="I56">
        <f>E56*Assumptions!$B$4</f>
        <v>91666.5</v>
      </c>
      <c r="J56">
        <f>F56*Assumptions!$B$4</f>
        <v>1099998</v>
      </c>
      <c r="K56">
        <f>G56*Assumptions!$B$4</f>
        <v>549999</v>
      </c>
    </row>
    <row r="57">
      <c r="A57" t="str">
        <v>Shared Flex Office (2-3 days/week)</v>
      </c>
      <c r="B57" t="str">
        <v>Month</v>
      </c>
      <c r="C57">
        <v>1</v>
      </c>
      <c r="D57">
        <v>1200</v>
      </c>
      <c r="E57">
        <f>C57*D57</f>
        <v>1200</v>
      </c>
      <c r="F57">
        <f>E57*12</f>
        <v>14400</v>
      </c>
      <c r="G57">
        <f>E57*6</f>
        <v>7200</v>
      </c>
      <c r="H57" t="str">
        <v/>
      </c>
      <c r="I57">
        <f>E57*Assumptions!$B$4</f>
        <v>113340</v>
      </c>
      <c r="J57">
        <f>F57*Assumptions!$B$4</f>
        <v>1360080</v>
      </c>
      <c r="K57">
        <f>G57*Assumptions!$B$4</f>
        <v>680040</v>
      </c>
    </row>
    <row r="58">
      <c r="A58" t="str">
        <v>Utilities &amp; Stipend</v>
      </c>
      <c r="B58" t="str">
        <v>Month</v>
      </c>
      <c r="C58">
        <v>1</v>
      </c>
      <c r="D58">
        <v>300</v>
      </c>
      <c r="E58">
        <f>C58*D58</f>
        <v>300</v>
      </c>
      <c r="F58">
        <f>E58*12</f>
        <v>3600</v>
      </c>
      <c r="G58">
        <f>E58*6</f>
        <v>1800</v>
      </c>
      <c r="H58" t="str">
        <v/>
      </c>
      <c r="I58">
        <f>E58*Assumptions!$B$4</f>
        <v>28335</v>
      </c>
      <c r="J58">
        <f>F58*Assumptions!$B$4</f>
        <v>340020</v>
      </c>
      <c r="K58">
        <f>G58*Assumptions!$B$4</f>
        <v>170010</v>
      </c>
    </row>
    <row r="59">
      <c r="A59" t="str">
        <v>Team Subtotal</v>
      </c>
      <c r="B59" t="str">
        <v/>
      </c>
      <c r="C59" t="str">
        <v/>
      </c>
      <c r="D59" t="str">
        <v/>
      </c>
      <c r="E59">
        <f>SUM(E53:E58)</f>
        <v>8823.086289041821</v>
      </c>
      <c r="F59">
        <f>E59*12</f>
        <v>105877.03546850185</v>
      </c>
      <c r="G59">
        <f>E59*6</f>
        <v>52938.51773425093</v>
      </c>
      <c r="H59" t="str">
        <v/>
      </c>
      <c r="I59">
        <f>E59*Assumptions!$B$4</f>
        <v>833340.5</v>
      </c>
      <c r="J59">
        <f>F59*Assumptions!$B$4</f>
        <v>10000086</v>
      </c>
      <c r="K59">
        <f>G59*Assumptions!$B$4</f>
        <v>5000043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Customer Acquisition (CAC-based)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New user acquisition (paid + organic, blended)</v>
      </c>
      <c r="B62" t="str">
        <v>New users/mo</v>
      </c>
      <c r="C62">
        <v>180</v>
      </c>
      <c r="D62">
        <f>Assumptions!$B$24</f>
        <v>8</v>
      </c>
      <c r="E62">
        <f>C62*D62</f>
        <v>1440</v>
      </c>
      <c r="F62">
        <f>E62*12</f>
        <v>17280</v>
      </c>
      <c r="G62">
        <f>E62*6</f>
        <v>8640</v>
      </c>
      <c r="H62" t="str">
        <v>900 net-new users over Months 2-6 (100→1,000) ÷ 5mo = 180/mo net-new × Year 1 blended CAC ($8). Added 2026-09-08 -- previously the CAC stated in the Pitch Deck's unit-economics table was never charged against this cost model.</v>
      </c>
      <c r="I62">
        <f>E62*Assumptions!$B$4</f>
        <v>136008</v>
      </c>
      <c r="J62">
        <f>F62*Assumptions!$B$4</f>
        <v>1632096</v>
      </c>
      <c r="K62">
        <f>G62*Assumptions!$B$4</f>
        <v>816048</v>
      </c>
    </row>
    <row r="63">
      <c r="A63" t="str">
        <v>Customer Acquisition Subtotal</v>
      </c>
      <c r="B63" t="str">
        <v/>
      </c>
      <c r="C63" t="str">
        <v/>
      </c>
      <c r="D63" t="str">
        <v/>
      </c>
      <c r="E63">
        <f>SUM(E62:E62)</f>
        <v>1440</v>
      </c>
      <c r="F63">
        <f>E63*12</f>
        <v>17280</v>
      </c>
      <c r="G63">
        <f>E63*6</f>
        <v>8640</v>
      </c>
      <c r="H63" t="str">
        <v/>
      </c>
      <c r="I63">
        <f>E63*Assumptions!$B$4</f>
        <v>136008</v>
      </c>
      <c r="J63">
        <f>F63*Assumptions!$B$4</f>
        <v>1632096</v>
      </c>
      <c r="K63">
        <f>G63*Assumptions!$B$4</f>
        <v>816048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>Operating Costs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SaaS Tools (Jira, Slack, etc.)</v>
      </c>
      <c r="B66" t="str">
        <v>Month</v>
      </c>
      <c r="C66">
        <v>1</v>
      </c>
      <c r="D66">
        <v>300</v>
      </c>
      <c r="E66">
        <f>C66*D66</f>
        <v>300</v>
      </c>
      <c r="F66">
        <f>E66*12</f>
        <v>3600</v>
      </c>
      <c r="G66">
        <f>E66*6</f>
        <v>1800</v>
      </c>
      <c r="H66" t="str">
        <v/>
      </c>
      <c r="I66">
        <f>E66*Assumptions!$B$4</f>
        <v>28335</v>
      </c>
      <c r="J66">
        <f>F66*Assumptions!$B$4</f>
        <v>340020</v>
      </c>
      <c r="K66">
        <f>G66*Assumptions!$B$4</f>
        <v>170010</v>
      </c>
    </row>
    <row r="67">
      <c r="A67" t="str">
        <v>DevOps Tools (CI/CD, monitoring)</v>
      </c>
      <c r="B67" t="str">
        <v>Month</v>
      </c>
      <c r="C67">
        <v>1</v>
      </c>
      <c r="D67">
        <v>200</v>
      </c>
      <c r="E67">
        <f>C67*D67</f>
        <v>200</v>
      </c>
      <c r="F67">
        <f>E67*12</f>
        <v>2400</v>
      </c>
      <c r="G67">
        <f>E67*6</f>
        <v>1200</v>
      </c>
      <c r="H67" t="str">
        <v/>
      </c>
      <c r="I67">
        <f>E67*Assumptions!$B$4</f>
        <v>18890</v>
      </c>
      <c r="J67">
        <f>F67*Assumptions!$B$4</f>
        <v>226680</v>
      </c>
      <c r="K67">
        <f>G67*Assumptions!$B$4</f>
        <v>113340</v>
      </c>
    </row>
    <row r="68">
      <c r="A68" t="str">
        <v>Communication &amp; Collaboration</v>
      </c>
      <c r="B68" t="str">
        <v>Month</v>
      </c>
      <c r="C68">
        <v>1</v>
      </c>
      <c r="D68">
        <v>150</v>
      </c>
      <c r="E68">
        <f>C68*D68</f>
        <v>150</v>
      </c>
      <c r="F68">
        <f>E68*12</f>
        <v>1800</v>
      </c>
      <c r="G68">
        <f>E68*6</f>
        <v>900</v>
      </c>
      <c r="H68" t="str">
        <v/>
      </c>
      <c r="I68">
        <f>E68*Assumptions!$B$4</f>
        <v>14167.5</v>
      </c>
      <c r="J68">
        <f>F68*Assumptions!$B$4</f>
        <v>170010</v>
      </c>
      <c r="K68">
        <f>G68*Assumptions!$B$4</f>
        <v>85005</v>
      </c>
    </row>
    <row r="69">
      <c r="A69" t="str">
        <v>Professional Development</v>
      </c>
      <c r="B69" t="str">
        <v>Month</v>
      </c>
      <c r="C69">
        <v>1</v>
      </c>
      <c r="D69">
        <v>200</v>
      </c>
      <c r="E69">
        <f>C69*D69</f>
        <v>200</v>
      </c>
      <c r="F69">
        <f>E69*12</f>
        <v>2400</v>
      </c>
      <c r="G69">
        <f>E69*6</f>
        <v>1200</v>
      </c>
      <c r="H69" t="str">
        <v/>
      </c>
      <c r="I69">
        <f>E69*Assumptions!$B$4</f>
        <v>18890</v>
      </c>
      <c r="J69">
        <f>F69*Assumptions!$B$4</f>
        <v>226680</v>
      </c>
      <c r="K69">
        <f>G69*Assumptions!$B$4</f>
        <v>113340</v>
      </c>
    </row>
    <row r="70">
      <c r="A70" t="str">
        <v>Insurance &amp; Compliance</v>
      </c>
      <c r="B70" t="str">
        <v>Month</v>
      </c>
      <c r="C70">
        <v>1</v>
      </c>
      <c r="D70">
        <v>300</v>
      </c>
      <c r="E70">
        <f>C70*D70</f>
        <v>300</v>
      </c>
      <c r="F70">
        <f>E70*12</f>
        <v>3600</v>
      </c>
      <c r="G70">
        <f>E70*6</f>
        <v>1800</v>
      </c>
      <c r="H70" t="str">
        <v/>
      </c>
      <c r="I70">
        <f>E70*Assumptions!$B$4</f>
        <v>28335</v>
      </c>
      <c r="J70">
        <f>F70*Assumptions!$B$4</f>
        <v>340020</v>
      </c>
      <c r="K70">
        <f>G70*Assumptions!$B$4</f>
        <v>170010</v>
      </c>
    </row>
    <row r="71">
      <c r="A71" t="str">
        <v>Marketing &amp; Community</v>
      </c>
      <c r="B71" t="str">
        <v>Month</v>
      </c>
      <c r="C71">
        <v>1</v>
      </c>
      <c r="D71">
        <v>500</v>
      </c>
      <c r="E71">
        <f>C71*D71</f>
        <v>500</v>
      </c>
      <c r="F71">
        <f>E71*12</f>
        <v>6000</v>
      </c>
      <c r="G71">
        <f>E71*6</f>
        <v>3000</v>
      </c>
      <c r="H71" t="str">
        <v/>
      </c>
      <c r="I71">
        <f>E71*Assumptions!$B$4</f>
        <v>47225</v>
      </c>
      <c r="J71">
        <f>F71*Assumptions!$B$4</f>
        <v>566700</v>
      </c>
      <c r="K71">
        <f>G71*Assumptions!$B$4</f>
        <v>283350</v>
      </c>
    </row>
    <row r="72">
      <c r="A72" t="str">
        <v>Operating Subtotal</v>
      </c>
      <c r="B72" t="str">
        <v/>
      </c>
      <c r="C72" t="str">
        <v/>
      </c>
      <c r="D72" t="str">
        <v/>
      </c>
      <c r="E72">
        <f>SUM(E66:E71)</f>
        <v>1650</v>
      </c>
      <c r="F72">
        <f>E72*12</f>
        <v>19800</v>
      </c>
      <c r="G72">
        <f>E72*6</f>
        <v>9900</v>
      </c>
      <c r="H72" t="str">
        <v/>
      </c>
      <c r="I72">
        <f>E72*Assumptions!$B$4</f>
        <v>155842.5</v>
      </c>
      <c r="J72">
        <f>F72*Assumptions!$B$4</f>
        <v>1870110</v>
      </c>
      <c r="K72">
        <f>G72*Assumptions!$B$4</f>
        <v>935055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>TOTAL MONTHLY COST</v>
      </c>
      <c r="B74" t="str">
        <v/>
      </c>
      <c r="C74" t="str">
        <v/>
      </c>
      <c r="D74" t="str">
        <v/>
      </c>
      <c r="E74">
        <f>E50+E59+E63+E72</f>
        <v>12508.086289041821</v>
      </c>
      <c r="F74">
        <f>E74*12</f>
        <v>150097.03546850185</v>
      </c>
      <c r="G74">
        <f>E74*6</f>
        <v>75048.51773425093</v>
      </c>
      <c r="H74" t="str">
        <v/>
      </c>
      <c r="I74">
        <f>E74*Assumptions!$B$4</f>
        <v>1181388.75</v>
      </c>
      <c r="J74">
        <f>F74*Assumptions!$B$4</f>
        <v>14176665</v>
      </c>
      <c r="K74">
        <f>G74*Assumptions!$B$4</f>
        <v>7088332.5</v>
      </c>
    </row>
    <row r="75">
      <c r="A75" t="str">
        <v>Cost per User (Monthly)</v>
      </c>
      <c r="B75" t="str">
        <v/>
      </c>
      <c r="C75" t="str">
        <v/>
      </c>
      <c r="D75" t="str">
        <v/>
      </c>
      <c r="E75">
        <f>E74/1000</f>
        <v>12.50808628904182</v>
      </c>
      <c r="F75" t="str">
        <v/>
      </c>
      <c r="G75" t="str">
        <v/>
      </c>
      <c r="H75" t="str">
        <v/>
      </c>
      <c r="I75">
        <f>E75*Assumptions!$B$4</f>
        <v>1181.38875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Month 12 — 5,000 Users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Category</v>
      </c>
      <c r="B79" t="str">
        <v>Unit</v>
      </c>
      <c r="C79" t="str">
        <v>Quantity</v>
      </c>
      <c r="D79" t="str">
        <v>Unit Cost (USD)</v>
      </c>
      <c r="E79" t="str">
        <v>Monthly Cost (USD)</v>
      </c>
      <c r="F79" t="str">
        <v>Annual Cost (USD)</v>
      </c>
      <c r="G79" t="str">
        <v>6-Month Cost (USD)</v>
      </c>
      <c r="H79" t="str">
        <v>Notes</v>
      </c>
      <c r="I79" t="str">
        <v>Monthly Cost (INR)</v>
      </c>
      <c r="J79" t="str">
        <v>Annual Cost (INR)</v>
      </c>
      <c r="K79" t="str">
        <v>6-Month Cost (INR)</v>
      </c>
    </row>
    <row r="80">
      <c r="A80" t="str">
        <v>AWS Infrastructure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compute</v>
      </c>
      <c r="B81" t="str">
        <v>Month</v>
      </c>
      <c r="C81">
        <v>1</v>
      </c>
      <c r="D81">
        <v>600</v>
      </c>
      <c r="E81">
        <f>C81*D81</f>
        <v>600</v>
      </c>
      <c r="F81">
        <f>E81*12</f>
        <v>7200</v>
      </c>
      <c r="G81">
        <f>E81*6</f>
        <v>3600</v>
      </c>
      <c r="H81" t="str">
        <v/>
      </c>
      <c r="I81">
        <f>E81*Assumptions!$B$4</f>
        <v>56670</v>
      </c>
      <c r="J81">
        <f>F81*Assumptions!$B$4</f>
        <v>680040</v>
      </c>
      <c r="K81">
        <f>G81*Assumptions!$B$4</f>
        <v>340020</v>
      </c>
    </row>
    <row r="82">
      <c r="A82" t="str">
        <v>database</v>
      </c>
      <c r="B82" t="str">
        <v>Month</v>
      </c>
      <c r="C82">
        <v>1</v>
      </c>
      <c r="D82">
        <v>400</v>
      </c>
      <c r="E82">
        <f>C82*D82</f>
        <v>400</v>
      </c>
      <c r="F82">
        <f>E82*12</f>
        <v>4800</v>
      </c>
      <c r="G82">
        <f>E82*6</f>
        <v>2400</v>
      </c>
      <c r="H82" t="str">
        <v/>
      </c>
      <c r="I82">
        <f>E82*Assumptions!$B$4</f>
        <v>37780</v>
      </c>
      <c r="J82">
        <f>F82*Assumptions!$B$4</f>
        <v>453360</v>
      </c>
      <c r="K82">
        <f>G82*Assumptions!$B$4</f>
        <v>226680</v>
      </c>
    </row>
    <row r="83">
      <c r="A83" t="str">
        <v>storage</v>
      </c>
      <c r="B83" t="str">
        <v>Month</v>
      </c>
      <c r="C83">
        <v>1</v>
      </c>
      <c r="D83">
        <v>150</v>
      </c>
      <c r="E83">
        <f>C83*D83</f>
        <v>150</v>
      </c>
      <c r="F83">
        <f>E83*12</f>
        <v>1800</v>
      </c>
      <c r="G83">
        <f>E83*6</f>
        <v>900</v>
      </c>
      <c r="H83" t="str">
        <v/>
      </c>
      <c r="I83">
        <f>E83*Assumptions!$B$4</f>
        <v>14167.5</v>
      </c>
      <c r="J83">
        <f>F83*Assumptions!$B$4</f>
        <v>170010</v>
      </c>
      <c r="K83">
        <f>G83*Assumptions!$B$4</f>
        <v>85005</v>
      </c>
    </row>
    <row r="84">
      <c r="A84" t="str">
        <v>networking</v>
      </c>
      <c r="B84" t="str">
        <v>Month</v>
      </c>
      <c r="C84">
        <v>1</v>
      </c>
      <c r="D84">
        <v>100</v>
      </c>
      <c r="E84">
        <f>C84*D84</f>
        <v>100</v>
      </c>
      <c r="F84">
        <f>E84*12</f>
        <v>1200</v>
      </c>
      <c r="G84">
        <f>E84*6</f>
        <v>600</v>
      </c>
      <c r="H84" t="str">
        <v/>
      </c>
      <c r="I84">
        <f>E84*Assumptions!$B$4</f>
        <v>9445</v>
      </c>
      <c r="J84">
        <f>F84*Assumptions!$B$4</f>
        <v>113340</v>
      </c>
      <c r="K84">
        <f>G84*Assumptions!$B$4</f>
        <v>56670</v>
      </c>
    </row>
    <row r="85">
      <c r="A85" t="str">
        <v>data_transfer</v>
      </c>
      <c r="B85" t="str">
        <v>Month</v>
      </c>
      <c r="C85">
        <v>1</v>
      </c>
      <c r="D85">
        <v>120</v>
      </c>
      <c r="E85">
        <f>C85*D85</f>
        <v>120</v>
      </c>
      <c r="F85">
        <f>E85*12</f>
        <v>1440</v>
      </c>
      <c r="G85">
        <f>E85*6</f>
        <v>720</v>
      </c>
      <c r="H85" t="str">
        <v/>
      </c>
      <c r="I85">
        <f>E85*Assumptions!$B$4</f>
        <v>11334</v>
      </c>
      <c r="J85">
        <f>F85*Assumptions!$B$4</f>
        <v>136008</v>
      </c>
      <c r="K85">
        <f>G85*Assumptions!$B$4</f>
        <v>68004</v>
      </c>
    </row>
    <row r="86">
      <c r="A86" t="str">
        <v>monitoring</v>
      </c>
      <c r="B86" t="str">
        <v>Month</v>
      </c>
      <c r="C86">
        <v>1</v>
      </c>
      <c r="D86">
        <v>40</v>
      </c>
      <c r="E86">
        <f>C86*D86</f>
        <v>40</v>
      </c>
      <c r="F86">
        <f>E86*12</f>
        <v>480</v>
      </c>
      <c r="G86">
        <f>E86*6</f>
        <v>240</v>
      </c>
      <c r="H86" t="str">
        <v/>
      </c>
      <c r="I86">
        <f>E86*Assumptions!$B$4</f>
        <v>3778</v>
      </c>
      <c r="J86">
        <f>F86*Assumptions!$B$4</f>
        <v>45336</v>
      </c>
      <c r="K86">
        <f>G86*Assumptions!$B$4</f>
        <v>22668</v>
      </c>
    </row>
    <row r="87">
      <c r="A87" t="str">
        <v>backups</v>
      </c>
      <c r="B87" t="str">
        <v>Month</v>
      </c>
      <c r="C87">
        <v>1</v>
      </c>
      <c r="D87">
        <v>60</v>
      </c>
      <c r="E87">
        <f>C87*D87</f>
        <v>60</v>
      </c>
      <c r="F87">
        <f>E87*12</f>
        <v>720</v>
      </c>
      <c r="G87">
        <f>E87*6</f>
        <v>360</v>
      </c>
      <c r="H87" t="str">
        <v/>
      </c>
      <c r="I87">
        <f>E87*Assumptions!$B$4</f>
        <v>5667</v>
      </c>
      <c r="J87">
        <f>F87*Assumptions!$B$4</f>
        <v>68004</v>
      </c>
      <c r="K87">
        <f>G87*Assumptions!$B$4</f>
        <v>34002</v>
      </c>
    </row>
    <row r="88">
      <c r="A88" t="str">
        <v>AWS Subtotal</v>
      </c>
      <c r="B88" t="str">
        <v/>
      </c>
      <c r="C88" t="str">
        <v/>
      </c>
      <c r="D88" t="str">
        <v/>
      </c>
      <c r="E88">
        <f>SUM(E81:E87)</f>
        <v>1470</v>
      </c>
      <c r="F88">
        <f>E88*12</f>
        <v>17640</v>
      </c>
      <c r="G88">
        <f>E88*6</f>
        <v>8820</v>
      </c>
      <c r="H88" t="str">
        <v/>
      </c>
      <c r="I88">
        <f>E88*Assumptions!$B$4</f>
        <v>138841.5</v>
      </c>
      <c r="J88">
        <f>F88*Assumptions!$B$4</f>
        <v>1666098</v>
      </c>
      <c r="K88">
        <f>G88*Assumptions!$B$4</f>
        <v>833049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Engineering Team (India-based)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Senior Dev</v>
      </c>
      <c r="B91" t="str">
        <v>Person</v>
      </c>
      <c r="C91">
        <v>2</v>
      </c>
      <c r="D91">
        <f>Assumptions!$B$11/Assumptions!$B$4</f>
        <v>3529.2006352567496</v>
      </c>
      <c r="E91">
        <f>C91*D91</f>
        <v>7058.401270513499</v>
      </c>
      <c r="F91">
        <f>E91*12</f>
        <v>84700.81524616199</v>
      </c>
      <c r="G91">
        <f>E91*6</f>
        <v>42350.407623080995</v>
      </c>
      <c r="H91" t="str">
        <v/>
      </c>
      <c r="I91">
        <f>E91*Assumptions!$B$4</f>
        <v>666666</v>
      </c>
      <c r="J91">
        <f>F91*Assumptions!$B$4</f>
        <v>7999992</v>
      </c>
      <c r="K91">
        <f>G91*Assumptions!$B$4</f>
        <v>3999996</v>
      </c>
    </row>
    <row r="92">
      <c r="A92" t="str">
        <v>Mid-level Dev</v>
      </c>
      <c r="B92" t="str">
        <v>Person</v>
      </c>
      <c r="C92">
        <v>2</v>
      </c>
      <c r="D92">
        <f>Assumptions!$B$10/Assumptions!$B$4</f>
        <v>1941.0587612493382</v>
      </c>
      <c r="E92">
        <f>C92*D92</f>
        <v>3882.1175224986764</v>
      </c>
      <c r="F92">
        <f>E92*12</f>
        <v>46585.41026998412</v>
      </c>
      <c r="G92">
        <f>E92*6</f>
        <v>23292.70513499206</v>
      </c>
      <c r="H92" t="str">
        <v/>
      </c>
      <c r="I92">
        <f>E92*Assumptions!$B$4</f>
        <v>366666</v>
      </c>
      <c r="J92">
        <f>F92*Assumptions!$B$4</f>
        <v>4399992</v>
      </c>
      <c r="K92">
        <f>G92*Assumptions!$B$4</f>
        <v>2199996</v>
      </c>
    </row>
    <row r="93">
      <c r="A93" t="str">
        <v>Junior Dev</v>
      </c>
      <c r="B93" t="str">
        <v>Person</v>
      </c>
      <c r="C93">
        <v>2</v>
      </c>
      <c r="D93">
        <f>Assumptions!$B$9/Assumptions!$B$4</f>
        <v>882.297511911064</v>
      </c>
      <c r="E93">
        <f>C93*D93</f>
        <v>1764.595023822128</v>
      </c>
      <c r="F93">
        <f>E93*12</f>
        <v>21175.140285865535</v>
      </c>
      <c r="G93">
        <f>E93*6</f>
        <v>10587.570142932767</v>
      </c>
      <c r="H93" t="str">
        <v/>
      </c>
      <c r="I93">
        <f>E93*Assumptions!$B$4</f>
        <v>166666</v>
      </c>
      <c r="J93">
        <f>F93*Assumptions!$B$4</f>
        <v>1999991.9999999998</v>
      </c>
      <c r="K93">
        <f>G93*Assumptions!$B$4</f>
        <v>999995.9999999999</v>
      </c>
    </row>
    <row r="94">
      <c r="A94" t="str">
        <v>DevOps</v>
      </c>
      <c r="B94" t="str">
        <v>Person</v>
      </c>
      <c r="C94">
        <v>1</v>
      </c>
      <c r="D94">
        <f>Assumptions!$B$13/Assumptions!$B$4</f>
        <v>1941.0587612493382</v>
      </c>
      <c r="E94">
        <f>C94*D94</f>
        <v>1941.0587612493382</v>
      </c>
      <c r="F94">
        <f>E94*12</f>
        <v>23292.70513499206</v>
      </c>
      <c r="G94">
        <f>E94*6</f>
        <v>11646.35256749603</v>
      </c>
      <c r="H94" t="str">
        <v/>
      </c>
      <c r="I94">
        <f>E94*Assumptions!$B$4</f>
        <v>183333</v>
      </c>
      <c r="J94">
        <f>F94*Assumptions!$B$4</f>
        <v>2199996</v>
      </c>
      <c r="K94">
        <f>G94*Assumptions!$B$4</f>
        <v>1099998</v>
      </c>
    </row>
    <row r="95">
      <c r="A95" t="str">
        <v>QA</v>
      </c>
      <c r="B95" t="str">
        <v>Person</v>
      </c>
      <c r="C95">
        <v>1</v>
      </c>
      <c r="D95">
        <f>Assumptions!$B$14/Assumptions!$B$4</f>
        <v>1058.7612493382742</v>
      </c>
      <c r="E95">
        <f>C95*D95</f>
        <v>1058.7612493382742</v>
      </c>
      <c r="F95">
        <f>E95*12</f>
        <v>12705.134992059291</v>
      </c>
      <c r="G95">
        <f>E95*6</f>
        <v>6352.567496029646</v>
      </c>
      <c r="H95" t="str">
        <v/>
      </c>
      <c r="I95">
        <f>E95*Assumptions!$B$4</f>
        <v>100000</v>
      </c>
      <c r="J95">
        <f>F95*Assumptions!$B$4</f>
        <v>1200000</v>
      </c>
      <c r="K95">
        <f>G95*Assumptions!$B$4</f>
        <v>600000</v>
      </c>
    </row>
    <row r="96">
      <c r="A96" t="str">
        <v>Shared Flex Office (2-3 days/week)</v>
      </c>
      <c r="B96" t="str">
        <v>Month</v>
      </c>
      <c r="C96">
        <v>1</v>
      </c>
      <c r="D96">
        <v>1200</v>
      </c>
      <c r="E96">
        <f>C96*D96</f>
        <v>1200</v>
      </c>
      <c r="F96">
        <f>E96*12</f>
        <v>14400</v>
      </c>
      <c r="G96">
        <f>E96*6</f>
        <v>7200</v>
      </c>
      <c r="H96" t="str">
        <v/>
      </c>
      <c r="I96">
        <f>E96*Assumptions!$B$4</f>
        <v>113340</v>
      </c>
      <c r="J96">
        <f>F96*Assumptions!$B$4</f>
        <v>1360080</v>
      </c>
      <c r="K96">
        <f>G96*Assumptions!$B$4</f>
        <v>680040</v>
      </c>
    </row>
    <row r="97">
      <c r="A97" t="str">
        <v>Utilities &amp; Stipend</v>
      </c>
      <c r="B97" t="str">
        <v>Month</v>
      </c>
      <c r="C97">
        <v>1</v>
      </c>
      <c r="D97">
        <v>300</v>
      </c>
      <c r="E97">
        <f>C97*D97</f>
        <v>300</v>
      </c>
      <c r="F97">
        <f>E97*12</f>
        <v>3600</v>
      </c>
      <c r="G97">
        <f>E97*6</f>
        <v>1800</v>
      </c>
      <c r="H97" t="str">
        <v/>
      </c>
      <c r="I97">
        <f>E97*Assumptions!$B$4</f>
        <v>28335</v>
      </c>
      <c r="J97">
        <f>F97*Assumptions!$B$4</f>
        <v>340020</v>
      </c>
      <c r="K97">
        <f>G97*Assumptions!$B$4</f>
        <v>170010</v>
      </c>
    </row>
    <row r="98">
      <c r="A98" t="str">
        <v>Team Subtotal</v>
      </c>
      <c r="B98" t="str">
        <v/>
      </c>
      <c r="C98" t="str">
        <v/>
      </c>
      <c r="D98" t="str">
        <v/>
      </c>
      <c r="E98">
        <f>SUM(E91:E97)</f>
        <v>17204.93382742192</v>
      </c>
      <c r="F98">
        <f>E98*12</f>
        <v>206459.20592906303</v>
      </c>
      <c r="G98">
        <f>E98*6</f>
        <v>103229.60296453151</v>
      </c>
      <c r="H98" t="str">
        <v/>
      </c>
      <c r="I98">
        <f>E98*Assumptions!$B$4</f>
        <v>1625006.0000000002</v>
      </c>
      <c r="J98">
        <f>F98*Assumptions!$B$4</f>
        <v>19500072.000000004</v>
      </c>
      <c r="K98">
        <f>G98*Assumptions!$B$4</f>
        <v>9750036.000000002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Customer Acquisition (CAC-based)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New user acquisition (paid + organic, blended)</v>
      </c>
      <c r="B101" t="str">
        <v>New users/mo</v>
      </c>
      <c r="C101">
        <v>667</v>
      </c>
      <c r="D101">
        <f>Assumptions!$B$24</f>
        <v>8</v>
      </c>
      <c r="E101">
        <f>C101*D101</f>
        <v>5336</v>
      </c>
      <c r="F101">
        <f>E101*12</f>
        <v>64032</v>
      </c>
      <c r="G101">
        <f>E101*6</f>
        <v>32016</v>
      </c>
      <c r="H101" t="str">
        <v>4,000 net-new users over Months 7-12 (1,000→5,000) ÷ 6mo = 667/mo net-new × Year 1 blended CAC ($8). Added 2026-09-08 -- previously the CAC stated in the Pitch Deck's unit-economics table was never charged against this cost model.</v>
      </c>
      <c r="I101">
        <f>E101*Assumptions!$B$4</f>
        <v>503985.2</v>
      </c>
      <c r="J101">
        <f>F101*Assumptions!$B$4</f>
        <v>6047822.4</v>
      </c>
      <c r="K101">
        <f>G101*Assumptions!$B$4</f>
        <v>3023911.2</v>
      </c>
    </row>
    <row r="102">
      <c r="A102" t="str">
        <v>Customer Acquisition Subtotal</v>
      </c>
      <c r="B102" t="str">
        <v/>
      </c>
      <c r="C102" t="str">
        <v/>
      </c>
      <c r="D102" t="str">
        <v/>
      </c>
      <c r="E102">
        <f>SUM(E101:E101)</f>
        <v>5336</v>
      </c>
      <c r="F102">
        <f>E102*12</f>
        <v>64032</v>
      </c>
      <c r="G102">
        <f>E102*6</f>
        <v>32016</v>
      </c>
      <c r="H102" t="str">
        <v/>
      </c>
      <c r="I102">
        <f>E102*Assumptions!$B$4</f>
        <v>503985.2</v>
      </c>
      <c r="J102">
        <f>F102*Assumptions!$B$4</f>
        <v>6047822.4</v>
      </c>
      <c r="K102">
        <f>G102*Assumptions!$B$4</f>
        <v>3023911.2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Operating Costs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SaaS Tools (Jira, Slack, etc.)</v>
      </c>
      <c r="B105" t="str">
        <v>Month</v>
      </c>
      <c r="C105">
        <v>1</v>
      </c>
      <c r="D105">
        <v>300</v>
      </c>
      <c r="E105">
        <f>C105*D105</f>
        <v>300</v>
      </c>
      <c r="F105">
        <f>E105*12</f>
        <v>3600</v>
      </c>
      <c r="G105">
        <f>E105*6</f>
        <v>1800</v>
      </c>
      <c r="H105" t="str">
        <v/>
      </c>
      <c r="I105">
        <f>E105*Assumptions!$B$4</f>
        <v>28335</v>
      </c>
      <c r="J105">
        <f>F105*Assumptions!$B$4</f>
        <v>340020</v>
      </c>
      <c r="K105">
        <f>G105*Assumptions!$B$4</f>
        <v>170010</v>
      </c>
    </row>
    <row r="106">
      <c r="A106" t="str">
        <v>DevOps Tools (CI/CD, monitoring)</v>
      </c>
      <c r="B106" t="str">
        <v>Month</v>
      </c>
      <c r="C106">
        <v>1</v>
      </c>
      <c r="D106">
        <v>200</v>
      </c>
      <c r="E106">
        <f>C106*D106</f>
        <v>200</v>
      </c>
      <c r="F106">
        <f>E106*12</f>
        <v>2400</v>
      </c>
      <c r="G106">
        <f>E106*6</f>
        <v>1200</v>
      </c>
      <c r="H106" t="str">
        <v/>
      </c>
      <c r="I106">
        <f>E106*Assumptions!$B$4</f>
        <v>18890</v>
      </c>
      <c r="J106">
        <f>F106*Assumptions!$B$4</f>
        <v>226680</v>
      </c>
      <c r="K106">
        <f>G106*Assumptions!$B$4</f>
        <v>113340</v>
      </c>
    </row>
    <row r="107">
      <c r="A107" t="str">
        <v>Communication &amp; Collaboration</v>
      </c>
      <c r="B107" t="str">
        <v>Month</v>
      </c>
      <c r="C107">
        <v>1</v>
      </c>
      <c r="D107">
        <v>150</v>
      </c>
      <c r="E107">
        <f>C107*D107</f>
        <v>150</v>
      </c>
      <c r="F107">
        <f>E107*12</f>
        <v>1800</v>
      </c>
      <c r="G107">
        <f>E107*6</f>
        <v>900</v>
      </c>
      <c r="H107" t="str">
        <v/>
      </c>
      <c r="I107">
        <f>E107*Assumptions!$B$4</f>
        <v>14167.5</v>
      </c>
      <c r="J107">
        <f>F107*Assumptions!$B$4</f>
        <v>170010</v>
      </c>
      <c r="K107">
        <f>G107*Assumptions!$B$4</f>
        <v>85005</v>
      </c>
    </row>
    <row r="108">
      <c r="A108" t="str">
        <v>Professional Development</v>
      </c>
      <c r="B108" t="str">
        <v>Month</v>
      </c>
      <c r="C108">
        <v>1</v>
      </c>
      <c r="D108">
        <v>200</v>
      </c>
      <c r="E108">
        <f>C108*D108</f>
        <v>200</v>
      </c>
      <c r="F108">
        <f>E108*12</f>
        <v>2400</v>
      </c>
      <c r="G108">
        <f>E108*6</f>
        <v>1200</v>
      </c>
      <c r="H108" t="str">
        <v/>
      </c>
      <c r="I108">
        <f>E108*Assumptions!$B$4</f>
        <v>18890</v>
      </c>
      <c r="J108">
        <f>F108*Assumptions!$B$4</f>
        <v>226680</v>
      </c>
      <c r="K108">
        <f>G108*Assumptions!$B$4</f>
        <v>113340</v>
      </c>
    </row>
    <row r="109">
      <c r="A109" t="str">
        <v>Insurance &amp; Compliance</v>
      </c>
      <c r="B109" t="str">
        <v>Month</v>
      </c>
      <c r="C109">
        <v>1</v>
      </c>
      <c r="D109">
        <v>300</v>
      </c>
      <c r="E109">
        <f>C109*D109</f>
        <v>300</v>
      </c>
      <c r="F109">
        <f>E109*12</f>
        <v>3600</v>
      </c>
      <c r="G109">
        <f>E109*6</f>
        <v>1800</v>
      </c>
      <c r="H109" t="str">
        <v/>
      </c>
      <c r="I109">
        <f>E109*Assumptions!$B$4</f>
        <v>28335</v>
      </c>
      <c r="J109">
        <f>F109*Assumptions!$B$4</f>
        <v>340020</v>
      </c>
      <c r="K109">
        <f>G109*Assumptions!$B$4</f>
        <v>170010</v>
      </c>
    </row>
    <row r="110">
      <c r="A110" t="str">
        <v>Marketing &amp; Community</v>
      </c>
      <c r="B110" t="str">
        <v>Month</v>
      </c>
      <c r="C110">
        <v>1</v>
      </c>
      <c r="D110">
        <v>500</v>
      </c>
      <c r="E110">
        <f>C110*D110</f>
        <v>500</v>
      </c>
      <c r="F110">
        <f>E110*12</f>
        <v>6000</v>
      </c>
      <c r="G110">
        <f>E110*6</f>
        <v>3000</v>
      </c>
      <c r="H110" t="str">
        <v/>
      </c>
      <c r="I110">
        <f>E110*Assumptions!$B$4</f>
        <v>47225</v>
      </c>
      <c r="J110">
        <f>F110*Assumptions!$B$4</f>
        <v>566700</v>
      </c>
      <c r="K110">
        <f>G110*Assumptions!$B$4</f>
        <v>283350</v>
      </c>
    </row>
    <row r="111">
      <c r="A111" t="str">
        <v>Operating Subtotal</v>
      </c>
      <c r="B111" t="str">
        <v/>
      </c>
      <c r="C111" t="str">
        <v/>
      </c>
      <c r="D111" t="str">
        <v/>
      </c>
      <c r="E111">
        <f>SUM(E105:E110)</f>
        <v>1650</v>
      </c>
      <c r="F111">
        <f>E111*12</f>
        <v>19800</v>
      </c>
      <c r="G111">
        <f>E111*6</f>
        <v>9900</v>
      </c>
      <c r="H111" t="str">
        <v/>
      </c>
      <c r="I111">
        <f>E111*Assumptions!$B$4</f>
        <v>155842.5</v>
      </c>
      <c r="J111">
        <f>F111*Assumptions!$B$4</f>
        <v>1870110</v>
      </c>
      <c r="K111">
        <f>G111*Assumptions!$B$4</f>
        <v>935055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TOTAL MONTHLY COST</v>
      </c>
      <c r="B113" t="str">
        <v/>
      </c>
      <c r="C113" t="str">
        <v/>
      </c>
      <c r="D113" t="str">
        <v/>
      </c>
      <c r="E113">
        <f>E88+E98+E102+E111</f>
        <v>25660.93382742192</v>
      </c>
      <c r="F113">
        <f>E113*12</f>
        <v>307931.205929063</v>
      </c>
      <c r="G113">
        <f>E113*6</f>
        <v>153965.6029645315</v>
      </c>
      <c r="H113" t="str">
        <v/>
      </c>
      <c r="I113">
        <f>E113*Assumptions!$B$4</f>
        <v>2423675.2</v>
      </c>
      <c r="J113">
        <f>F113*Assumptions!$B$4</f>
        <v>29084102.400000002</v>
      </c>
      <c r="K113">
        <f>G113*Assumptions!$B$4</f>
        <v>14542051.200000001</v>
      </c>
    </row>
    <row r="114">
      <c r="A114" t="str">
        <v>Cost per User (Monthly)</v>
      </c>
      <c r="B114" t="str">
        <v/>
      </c>
      <c r="C114" t="str">
        <v/>
      </c>
      <c r="D114" t="str">
        <v/>
      </c>
      <c r="E114">
        <f>E113/5000</f>
        <v>5.132186765484384</v>
      </c>
      <c r="F114" t="str">
        <v/>
      </c>
      <c r="G114" t="str">
        <v/>
      </c>
      <c r="H114" t="str">
        <v/>
      </c>
      <c r="I114">
        <f>E114*Assumptions!$B$4</f>
        <v>484.7350400000001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Month 18 — 10,000 Users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Category</v>
      </c>
      <c r="B118" t="str">
        <v>Unit</v>
      </c>
      <c r="C118" t="str">
        <v>Quantity</v>
      </c>
      <c r="D118" t="str">
        <v>Unit Cost (USD)</v>
      </c>
      <c r="E118" t="str">
        <v>Monthly Cost (USD)</v>
      </c>
      <c r="F118" t="str">
        <v>Annual Cost (USD)</v>
      </c>
      <c r="G118" t="str">
        <v>6-Month Cost (USD)</v>
      </c>
      <c r="H118" t="str">
        <v>Notes</v>
      </c>
      <c r="I118" t="str">
        <v>Monthly Cost (INR)</v>
      </c>
      <c r="J118" t="str">
        <v>Annual Cost (INR)</v>
      </c>
      <c r="K118" t="str">
        <v>6-Month Cost (INR)</v>
      </c>
    </row>
    <row r="119">
      <c r="A119" t="str">
        <v>AWS Infrastructure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>compute</v>
      </c>
      <c r="B120" t="str">
        <v>Month</v>
      </c>
      <c r="C120">
        <v>1</v>
      </c>
      <c r="D120">
        <v>1200</v>
      </c>
      <c r="E120">
        <f>C120*D120</f>
        <v>1200</v>
      </c>
      <c r="F120">
        <f>E120*12</f>
        <v>14400</v>
      </c>
      <c r="G120">
        <f>E120*6</f>
        <v>7200</v>
      </c>
      <c r="H120" t="str">
        <v/>
      </c>
      <c r="I120">
        <f>E120*Assumptions!$B$4</f>
        <v>113340</v>
      </c>
      <c r="J120">
        <f>F120*Assumptions!$B$4</f>
        <v>1360080</v>
      </c>
      <c r="K120">
        <f>G120*Assumptions!$B$4</f>
        <v>680040</v>
      </c>
    </row>
    <row r="121">
      <c r="A121" t="str">
        <v>database</v>
      </c>
      <c r="B121" t="str">
        <v>Month</v>
      </c>
      <c r="C121">
        <v>1</v>
      </c>
      <c r="D121">
        <v>800</v>
      </c>
      <c r="E121">
        <f>C121*D121</f>
        <v>800</v>
      </c>
      <c r="F121">
        <f>E121*12</f>
        <v>9600</v>
      </c>
      <c r="G121">
        <f>E121*6</f>
        <v>4800</v>
      </c>
      <c r="H121" t="str">
        <v/>
      </c>
      <c r="I121">
        <f>E121*Assumptions!$B$4</f>
        <v>75560</v>
      </c>
      <c r="J121">
        <f>F121*Assumptions!$B$4</f>
        <v>906720</v>
      </c>
      <c r="K121">
        <f>G121*Assumptions!$B$4</f>
        <v>453360</v>
      </c>
    </row>
    <row r="122">
      <c r="A122" t="str">
        <v>storage</v>
      </c>
      <c r="B122" t="str">
        <v>Month</v>
      </c>
      <c r="C122">
        <v>1</v>
      </c>
      <c r="D122">
        <v>300</v>
      </c>
      <c r="E122">
        <f>C122*D122</f>
        <v>300</v>
      </c>
      <c r="F122">
        <f>E122*12</f>
        <v>3600</v>
      </c>
      <c r="G122">
        <f>E122*6</f>
        <v>1800</v>
      </c>
      <c r="H122" t="str">
        <v/>
      </c>
      <c r="I122">
        <f>E122*Assumptions!$B$4</f>
        <v>28335</v>
      </c>
      <c r="J122">
        <f>F122*Assumptions!$B$4</f>
        <v>340020</v>
      </c>
      <c r="K122">
        <f>G122*Assumptions!$B$4</f>
        <v>170010</v>
      </c>
    </row>
    <row r="123">
      <c r="A123" t="str">
        <v>networking</v>
      </c>
      <c r="B123" t="str">
        <v>Month</v>
      </c>
      <c r="C123">
        <v>1</v>
      </c>
      <c r="D123">
        <v>200</v>
      </c>
      <c r="E123">
        <f>C123*D123</f>
        <v>200</v>
      </c>
      <c r="F123">
        <f>E123*12</f>
        <v>2400</v>
      </c>
      <c r="G123">
        <f>E123*6</f>
        <v>1200</v>
      </c>
      <c r="H123" t="str">
        <v/>
      </c>
      <c r="I123">
        <f>E123*Assumptions!$B$4</f>
        <v>18890</v>
      </c>
      <c r="J123">
        <f>F123*Assumptions!$B$4</f>
        <v>226680</v>
      </c>
      <c r="K123">
        <f>G123*Assumptions!$B$4</f>
        <v>113340</v>
      </c>
    </row>
    <row r="124">
      <c r="A124" t="str">
        <v>data_transfer</v>
      </c>
      <c r="B124" t="str">
        <v>Month</v>
      </c>
      <c r="C124">
        <v>1</v>
      </c>
      <c r="D124">
        <v>250</v>
      </c>
      <c r="E124">
        <f>C124*D124</f>
        <v>250</v>
      </c>
      <c r="F124">
        <f>E124*12</f>
        <v>3000</v>
      </c>
      <c r="G124">
        <f>E124*6</f>
        <v>1500</v>
      </c>
      <c r="H124" t="str">
        <v/>
      </c>
      <c r="I124">
        <f>E124*Assumptions!$B$4</f>
        <v>23612.5</v>
      </c>
      <c r="J124">
        <f>F124*Assumptions!$B$4</f>
        <v>283350</v>
      </c>
      <c r="K124">
        <f>G124*Assumptions!$B$4</f>
        <v>141675</v>
      </c>
    </row>
    <row r="125">
      <c r="A125" t="str">
        <v>monitoring</v>
      </c>
      <c r="B125" t="str">
        <v>Month</v>
      </c>
      <c r="C125">
        <v>1</v>
      </c>
      <c r="D125">
        <v>75</v>
      </c>
      <c r="E125">
        <f>C125*D125</f>
        <v>75</v>
      </c>
      <c r="F125">
        <f>E125*12</f>
        <v>900</v>
      </c>
      <c r="G125">
        <f>E125*6</f>
        <v>450</v>
      </c>
      <c r="H125" t="str">
        <v/>
      </c>
      <c r="I125">
        <f>E125*Assumptions!$B$4</f>
        <v>7083.75</v>
      </c>
      <c r="J125">
        <f>F125*Assumptions!$B$4</f>
        <v>85005</v>
      </c>
      <c r="K125">
        <f>G125*Assumptions!$B$4</f>
        <v>42502.5</v>
      </c>
    </row>
    <row r="126">
      <c r="A126" t="str">
        <v>backups</v>
      </c>
      <c r="B126" t="str">
        <v>Month</v>
      </c>
      <c r="C126">
        <v>1</v>
      </c>
      <c r="D126">
        <v>125</v>
      </c>
      <c r="E126">
        <f>C126*D126</f>
        <v>125</v>
      </c>
      <c r="F126">
        <f>E126*12</f>
        <v>1500</v>
      </c>
      <c r="G126">
        <f>E126*6</f>
        <v>750</v>
      </c>
      <c r="H126" t="str">
        <v/>
      </c>
      <c r="I126">
        <f>E126*Assumptions!$B$4</f>
        <v>11806.25</v>
      </c>
      <c r="J126">
        <f>F126*Assumptions!$B$4</f>
        <v>141675</v>
      </c>
      <c r="K126">
        <f>G126*Assumptions!$B$4</f>
        <v>70837.5</v>
      </c>
    </row>
    <row r="127">
      <c r="A127" t="str">
        <v>AWS Subtotal</v>
      </c>
      <c r="B127" t="str">
        <v/>
      </c>
      <c r="C127" t="str">
        <v/>
      </c>
      <c r="D127" t="str">
        <v/>
      </c>
      <c r="E127">
        <f>SUM(E120:E126)</f>
        <v>2950</v>
      </c>
      <c r="F127">
        <f>E127*12</f>
        <v>35400</v>
      </c>
      <c r="G127">
        <f>E127*6</f>
        <v>17700</v>
      </c>
      <c r="H127" t="str">
        <v/>
      </c>
      <c r="I127">
        <f>E127*Assumptions!$B$4</f>
        <v>278627.5</v>
      </c>
      <c r="J127">
        <f>F127*Assumptions!$B$4</f>
        <v>3343530</v>
      </c>
      <c r="K127">
        <f>G127*Assumptions!$B$4</f>
        <v>1671765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Engineering Team (India-based)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>Senior Dev</v>
      </c>
      <c r="B130" t="str">
        <v>Person</v>
      </c>
      <c r="C130">
        <v>2</v>
      </c>
      <c r="D130">
        <f>Assumptions!$B$11/Assumptions!$B$4</f>
        <v>3529.2006352567496</v>
      </c>
      <c r="E130">
        <f>C130*D130</f>
        <v>7058.401270513499</v>
      </c>
      <c r="F130">
        <f>E130*12</f>
        <v>84700.81524616199</v>
      </c>
      <c r="G130">
        <f>E130*6</f>
        <v>42350.407623080995</v>
      </c>
      <c r="H130" t="str">
        <v/>
      </c>
      <c r="I130">
        <f>E130*Assumptions!$B$4</f>
        <v>666666</v>
      </c>
      <c r="J130">
        <f>F130*Assumptions!$B$4</f>
        <v>7999992</v>
      </c>
      <c r="K130">
        <f>G130*Assumptions!$B$4</f>
        <v>3999996</v>
      </c>
    </row>
    <row r="131">
      <c r="A131" t="str">
        <v>Mid-level Dev</v>
      </c>
      <c r="B131" t="str">
        <v>Person</v>
      </c>
      <c r="C131">
        <v>3</v>
      </c>
      <c r="D131">
        <f>Assumptions!$B$10/Assumptions!$B$4</f>
        <v>1941.0587612493382</v>
      </c>
      <c r="E131">
        <f>C131*D131</f>
        <v>5823.176283748015</v>
      </c>
      <c r="F131">
        <f>E131*12</f>
        <v>69878.11540497618</v>
      </c>
      <c r="G131">
        <f>E131*6</f>
        <v>34939.05770248809</v>
      </c>
      <c r="H131" t="str">
        <v/>
      </c>
      <c r="I131">
        <f>E131*Assumptions!$B$4</f>
        <v>549999</v>
      </c>
      <c r="J131">
        <f>F131*Assumptions!$B$4</f>
        <v>6599988.000000001</v>
      </c>
      <c r="K131">
        <f>G131*Assumptions!$B$4</f>
        <v>3299994.0000000005</v>
      </c>
    </row>
    <row r="132">
      <c r="A132" t="str">
        <v>Junior Dev</v>
      </c>
      <c r="B132" t="str">
        <v>Person</v>
      </c>
      <c r="C132">
        <v>2</v>
      </c>
      <c r="D132">
        <f>Assumptions!$B$9/Assumptions!$B$4</f>
        <v>882.297511911064</v>
      </c>
      <c r="E132">
        <f>C132*D132</f>
        <v>1764.595023822128</v>
      </c>
      <c r="F132">
        <f>E132*12</f>
        <v>21175.140285865535</v>
      </c>
      <c r="G132">
        <f>E132*6</f>
        <v>10587.570142932767</v>
      </c>
      <c r="H132" t="str">
        <v/>
      </c>
      <c r="I132">
        <f>E132*Assumptions!$B$4</f>
        <v>166666</v>
      </c>
      <c r="J132">
        <f>F132*Assumptions!$B$4</f>
        <v>1999991.9999999998</v>
      </c>
      <c r="K132">
        <f>G132*Assumptions!$B$4</f>
        <v>999995.9999999999</v>
      </c>
    </row>
    <row r="133">
      <c r="A133" t="str">
        <v>DevOps</v>
      </c>
      <c r="B133" t="str">
        <v>Person</v>
      </c>
      <c r="C133">
        <v>1</v>
      </c>
      <c r="D133">
        <f>Assumptions!$B$13/Assumptions!$B$4</f>
        <v>1941.0587612493382</v>
      </c>
      <c r="E133">
        <f>C133*D133</f>
        <v>1941.0587612493382</v>
      </c>
      <c r="F133">
        <f>E133*12</f>
        <v>23292.70513499206</v>
      </c>
      <c r="G133">
        <f>E133*6</f>
        <v>11646.35256749603</v>
      </c>
      <c r="H133" t="str">
        <v/>
      </c>
      <c r="I133">
        <f>E133*Assumptions!$B$4</f>
        <v>183333</v>
      </c>
      <c r="J133">
        <f>F133*Assumptions!$B$4</f>
        <v>2199996</v>
      </c>
      <c r="K133">
        <f>G133*Assumptions!$B$4</f>
        <v>1099998</v>
      </c>
    </row>
    <row r="134">
      <c r="A134" t="str">
        <v>QA</v>
      </c>
      <c r="B134" t="str">
        <v>Person</v>
      </c>
      <c r="C134">
        <v>1</v>
      </c>
      <c r="D134">
        <f>Assumptions!$B$14/Assumptions!$B$4</f>
        <v>1058.7612493382742</v>
      </c>
      <c r="E134">
        <f>C134*D134</f>
        <v>1058.7612493382742</v>
      </c>
      <c r="F134">
        <f>E134*12</f>
        <v>12705.134992059291</v>
      </c>
      <c r="G134">
        <f>E134*6</f>
        <v>6352.567496029646</v>
      </c>
      <c r="H134" t="str">
        <v/>
      </c>
      <c r="I134">
        <f>E134*Assumptions!$B$4</f>
        <v>100000</v>
      </c>
      <c r="J134">
        <f>F134*Assumptions!$B$4</f>
        <v>1200000</v>
      </c>
      <c r="K134">
        <f>G134*Assumptions!$B$4</f>
        <v>600000</v>
      </c>
    </row>
    <row r="135">
      <c r="A135" t="str">
        <v>Product Manager</v>
      </c>
      <c r="B135" t="str">
        <v>Person</v>
      </c>
      <c r="C135">
        <v>1</v>
      </c>
      <c r="D135">
        <f>Assumptions!$B$15/Assumptions!$B$4</f>
        <v>2470.439385918475</v>
      </c>
      <c r="E135">
        <f>C135*D135</f>
        <v>2470.439385918475</v>
      </c>
      <c r="F135">
        <f>E135*12</f>
        <v>29645.272631021704</v>
      </c>
      <c r="G135">
        <f>E135*6</f>
        <v>14822.636315510852</v>
      </c>
      <c r="H135" t="str">
        <v/>
      </c>
      <c r="I135">
        <f>E135*Assumptions!$B$4</f>
        <v>233333</v>
      </c>
      <c r="J135">
        <f>F135*Assumptions!$B$4</f>
        <v>2799996</v>
      </c>
      <c r="K135">
        <f>G135*Assumptions!$B$4</f>
        <v>1399998</v>
      </c>
    </row>
    <row r="136">
      <c r="A136" t="str">
        <v>Designer</v>
      </c>
      <c r="B136" t="str">
        <v>Person</v>
      </c>
      <c r="C136">
        <v>1</v>
      </c>
      <c r="D136">
        <f>Assumptions!$B$16/Assumptions!$B$4</f>
        <v>1411.6781365802012</v>
      </c>
      <c r="E136">
        <f>C136*D136</f>
        <v>1411.6781365802012</v>
      </c>
      <c r="F136">
        <f>E136*12</f>
        <v>16940.137638962413</v>
      </c>
      <c r="G136">
        <f>E136*6</f>
        <v>8470.068819481206</v>
      </c>
      <c r="H136" t="str">
        <v/>
      </c>
      <c r="I136">
        <f>E136*Assumptions!$B$4</f>
        <v>133333</v>
      </c>
      <c r="J136">
        <f>F136*Assumptions!$B$4</f>
        <v>1599996</v>
      </c>
      <c r="K136">
        <f>G136*Assumptions!$B$4</f>
        <v>799998</v>
      </c>
    </row>
    <row r="137">
      <c r="A137" t="str">
        <v>Shared Flex Office (2-3 days/week)</v>
      </c>
      <c r="B137" t="str">
        <v>Month</v>
      </c>
      <c r="C137">
        <v>1</v>
      </c>
      <c r="D137">
        <v>1200</v>
      </c>
      <c r="E137">
        <f>C137*D137</f>
        <v>1200</v>
      </c>
      <c r="F137">
        <f>E137*12</f>
        <v>14400</v>
      </c>
      <c r="G137">
        <f>E137*6</f>
        <v>7200</v>
      </c>
      <c r="H137" t="str">
        <v/>
      </c>
      <c r="I137">
        <f>E137*Assumptions!$B$4</f>
        <v>113340</v>
      </c>
      <c r="J137">
        <f>F137*Assumptions!$B$4</f>
        <v>1360080</v>
      </c>
      <c r="K137">
        <f>G137*Assumptions!$B$4</f>
        <v>680040</v>
      </c>
    </row>
    <row r="138">
      <c r="A138" t="str">
        <v>Utilities &amp; Stipend</v>
      </c>
      <c r="B138" t="str">
        <v>Month</v>
      </c>
      <c r="C138">
        <v>1</v>
      </c>
      <c r="D138">
        <v>300</v>
      </c>
      <c r="E138">
        <f>C138*D138</f>
        <v>300</v>
      </c>
      <c r="F138">
        <f>E138*12</f>
        <v>3600</v>
      </c>
      <c r="G138">
        <f>E138*6</f>
        <v>1800</v>
      </c>
      <c r="H138" t="str">
        <v/>
      </c>
      <c r="I138">
        <f>E138*Assumptions!$B$4</f>
        <v>28335</v>
      </c>
      <c r="J138">
        <f>F138*Assumptions!$B$4</f>
        <v>340020</v>
      </c>
      <c r="K138">
        <f>G138*Assumptions!$B$4</f>
        <v>170010</v>
      </c>
    </row>
    <row r="139">
      <c r="A139" t="str">
        <v>Team Subtotal</v>
      </c>
      <c r="B139" t="str">
        <v/>
      </c>
      <c r="C139" t="str">
        <v/>
      </c>
      <c r="D139" t="str">
        <v/>
      </c>
      <c r="E139">
        <f>SUM(E130:E138)</f>
        <v>23028.11011116993</v>
      </c>
      <c r="F139">
        <f>E139*12</f>
        <v>276337.3213340392</v>
      </c>
      <c r="G139">
        <f>E139*6</f>
        <v>138168.6606670196</v>
      </c>
      <c r="H139" t="str">
        <v/>
      </c>
      <c r="I139">
        <f>E139*Assumptions!$B$4</f>
        <v>2175005</v>
      </c>
      <c r="J139">
        <f>F139*Assumptions!$B$4</f>
        <v>26100060.000000004</v>
      </c>
      <c r="K139">
        <f>G139*Assumptions!$B$4</f>
        <v>13050030.000000002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>Customer Acquisition (CAC-based)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New user acquisition (paid + organic, blended)</v>
      </c>
      <c r="B142" t="str">
        <v>New users/mo</v>
      </c>
      <c r="C142">
        <v>833</v>
      </c>
      <c r="D142">
        <f>Assumptions!$B$25</f>
        <v>6</v>
      </c>
      <c r="E142">
        <f>C142*D142</f>
        <v>4998</v>
      </c>
      <c r="F142">
        <f>E142*12</f>
        <v>59976</v>
      </c>
      <c r="G142">
        <f>E142*6</f>
        <v>29988</v>
      </c>
      <c r="H142" t="str">
        <v>5,000 net-new users over Months 13-18 (5,000→10,000) ÷ 6mo = 833/mo net-new × Year 2 blended CAC ($6). Added 2026-09-08 -- previously the CAC stated in the Pitch Deck's unit-economics table was never charged against this cost model.</v>
      </c>
      <c r="I142">
        <f>E142*Assumptions!$B$4</f>
        <v>472061.10000000003</v>
      </c>
      <c r="J142">
        <f>F142*Assumptions!$B$4</f>
        <v>5664733.2</v>
      </c>
      <c r="K142">
        <f>G142*Assumptions!$B$4</f>
        <v>2832366.6</v>
      </c>
    </row>
    <row r="143">
      <c r="A143" t="str">
        <v>Customer Acquisition Subtotal</v>
      </c>
      <c r="B143" t="str">
        <v/>
      </c>
      <c r="C143" t="str">
        <v/>
      </c>
      <c r="D143" t="str">
        <v/>
      </c>
      <c r="E143">
        <f>SUM(E142:E142)</f>
        <v>4998</v>
      </c>
      <c r="F143">
        <f>E143*12</f>
        <v>59976</v>
      </c>
      <c r="G143">
        <f>E143*6</f>
        <v>29988</v>
      </c>
      <c r="H143" t="str">
        <v/>
      </c>
      <c r="I143">
        <f>E143*Assumptions!$B$4</f>
        <v>472061.10000000003</v>
      </c>
      <c r="J143">
        <f>F143*Assumptions!$B$4</f>
        <v>5664733.2</v>
      </c>
      <c r="K143">
        <f>G143*Assumptions!$B$4</f>
        <v>2832366.6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</row>
    <row r="145">
      <c r="A145" t="str">
        <v>Operating Costs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>SaaS Tools (Jira, Slack, etc.)</v>
      </c>
      <c r="B146" t="str">
        <v>Month</v>
      </c>
      <c r="C146">
        <v>1</v>
      </c>
      <c r="D146">
        <v>300</v>
      </c>
      <c r="E146">
        <f>C146*D146</f>
        <v>300</v>
      </c>
      <c r="F146">
        <f>E146*12</f>
        <v>3600</v>
      </c>
      <c r="G146">
        <f>E146*6</f>
        <v>1800</v>
      </c>
      <c r="H146" t="str">
        <v/>
      </c>
      <c r="I146">
        <f>E146*Assumptions!$B$4</f>
        <v>28335</v>
      </c>
      <c r="J146">
        <f>F146*Assumptions!$B$4</f>
        <v>340020</v>
      </c>
      <c r="K146">
        <f>G146*Assumptions!$B$4</f>
        <v>170010</v>
      </c>
    </row>
    <row r="147">
      <c r="A147" t="str">
        <v>DevOps Tools (CI/CD, monitoring)</v>
      </c>
      <c r="B147" t="str">
        <v>Month</v>
      </c>
      <c r="C147">
        <v>1</v>
      </c>
      <c r="D147">
        <v>200</v>
      </c>
      <c r="E147">
        <f>C147*D147</f>
        <v>200</v>
      </c>
      <c r="F147">
        <f>E147*12</f>
        <v>2400</v>
      </c>
      <c r="G147">
        <f>E147*6</f>
        <v>1200</v>
      </c>
      <c r="H147" t="str">
        <v/>
      </c>
      <c r="I147">
        <f>E147*Assumptions!$B$4</f>
        <v>18890</v>
      </c>
      <c r="J147">
        <f>F147*Assumptions!$B$4</f>
        <v>226680</v>
      </c>
      <c r="K147">
        <f>G147*Assumptions!$B$4</f>
        <v>113340</v>
      </c>
    </row>
    <row r="148">
      <c r="A148" t="str">
        <v>Communication &amp; Collaboration</v>
      </c>
      <c r="B148" t="str">
        <v>Month</v>
      </c>
      <c r="C148">
        <v>1</v>
      </c>
      <c r="D148">
        <v>150</v>
      </c>
      <c r="E148">
        <f>C148*D148</f>
        <v>150</v>
      </c>
      <c r="F148">
        <f>E148*12</f>
        <v>1800</v>
      </c>
      <c r="G148">
        <f>E148*6</f>
        <v>900</v>
      </c>
      <c r="H148" t="str">
        <v/>
      </c>
      <c r="I148">
        <f>E148*Assumptions!$B$4</f>
        <v>14167.5</v>
      </c>
      <c r="J148">
        <f>F148*Assumptions!$B$4</f>
        <v>170010</v>
      </c>
      <c r="K148">
        <f>G148*Assumptions!$B$4</f>
        <v>85005</v>
      </c>
    </row>
    <row r="149">
      <c r="A149" t="str">
        <v>Professional Development</v>
      </c>
      <c r="B149" t="str">
        <v>Month</v>
      </c>
      <c r="C149">
        <v>1</v>
      </c>
      <c r="D149">
        <v>200</v>
      </c>
      <c r="E149">
        <f>C149*D149</f>
        <v>200</v>
      </c>
      <c r="F149">
        <f>E149*12</f>
        <v>2400</v>
      </c>
      <c r="G149">
        <f>E149*6</f>
        <v>1200</v>
      </c>
      <c r="H149" t="str">
        <v/>
      </c>
      <c r="I149">
        <f>E149*Assumptions!$B$4</f>
        <v>18890</v>
      </c>
      <c r="J149">
        <f>F149*Assumptions!$B$4</f>
        <v>226680</v>
      </c>
      <c r="K149">
        <f>G149*Assumptions!$B$4</f>
        <v>113340</v>
      </c>
    </row>
    <row r="150">
      <c r="A150" t="str">
        <v>Insurance &amp; Compliance</v>
      </c>
      <c r="B150" t="str">
        <v>Month</v>
      </c>
      <c r="C150">
        <v>1</v>
      </c>
      <c r="D150">
        <v>300</v>
      </c>
      <c r="E150">
        <f>C150*D150</f>
        <v>300</v>
      </c>
      <c r="F150">
        <f>E150*12</f>
        <v>3600</v>
      </c>
      <c r="G150">
        <f>E150*6</f>
        <v>1800</v>
      </c>
      <c r="H150" t="str">
        <v/>
      </c>
      <c r="I150">
        <f>E150*Assumptions!$B$4</f>
        <v>28335</v>
      </c>
      <c r="J150">
        <f>F150*Assumptions!$B$4</f>
        <v>340020</v>
      </c>
      <c r="K150">
        <f>G150*Assumptions!$B$4</f>
        <v>170010</v>
      </c>
    </row>
    <row r="151">
      <c r="A151" t="str">
        <v>Marketing &amp; Community</v>
      </c>
      <c r="B151" t="str">
        <v>Month</v>
      </c>
      <c r="C151">
        <v>1</v>
      </c>
      <c r="D151">
        <v>500</v>
      </c>
      <c r="E151">
        <f>C151*D151</f>
        <v>500</v>
      </c>
      <c r="F151">
        <f>E151*12</f>
        <v>6000</v>
      </c>
      <c r="G151">
        <f>E151*6</f>
        <v>3000</v>
      </c>
      <c r="H151" t="str">
        <v/>
      </c>
      <c r="I151">
        <f>E151*Assumptions!$B$4</f>
        <v>47225</v>
      </c>
      <c r="J151">
        <f>F151*Assumptions!$B$4</f>
        <v>566700</v>
      </c>
      <c r="K151">
        <f>G151*Assumptions!$B$4</f>
        <v>283350</v>
      </c>
    </row>
    <row r="152">
      <c r="A152" t="str">
        <v>Operating Subtotal</v>
      </c>
      <c r="B152" t="str">
        <v/>
      </c>
      <c r="C152" t="str">
        <v/>
      </c>
      <c r="D152" t="str">
        <v/>
      </c>
      <c r="E152">
        <f>SUM(E146:E151)</f>
        <v>1650</v>
      </c>
      <c r="F152">
        <f>E152*12</f>
        <v>19800</v>
      </c>
      <c r="G152">
        <f>E152*6</f>
        <v>9900</v>
      </c>
      <c r="H152" t="str">
        <v/>
      </c>
      <c r="I152">
        <f>E152*Assumptions!$B$4</f>
        <v>155842.5</v>
      </c>
      <c r="J152">
        <f>F152*Assumptions!$B$4</f>
        <v>1870110</v>
      </c>
      <c r="K152">
        <f>G152*Assumptions!$B$4</f>
        <v>935055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TOTAL MONTHLY COST</v>
      </c>
      <c r="B154" t="str">
        <v/>
      </c>
      <c r="C154" t="str">
        <v/>
      </c>
      <c r="D154" t="str">
        <v/>
      </c>
      <c r="E154">
        <f>E127+E139+E143+E152</f>
        <v>32626.11011116993</v>
      </c>
      <c r="F154">
        <f>E154*12</f>
        <v>391513.3213340392</v>
      </c>
      <c r="G154">
        <f>E154*6</f>
        <v>195756.6606670196</v>
      </c>
      <c r="H154" t="str">
        <v/>
      </c>
      <c r="I154">
        <f>E154*Assumptions!$B$4</f>
        <v>3081536.1</v>
      </c>
      <c r="J154">
        <f>F154*Assumptions!$B$4</f>
        <v>36978433.2</v>
      </c>
      <c r="K154">
        <f>G154*Assumptions!$B$4</f>
        <v>18489216.6</v>
      </c>
    </row>
    <row r="155">
      <c r="A155" t="str">
        <v>Cost per User (Monthly)</v>
      </c>
      <c r="B155" t="str">
        <v/>
      </c>
      <c r="C155" t="str">
        <v/>
      </c>
      <c r="D155" t="str">
        <v/>
      </c>
      <c r="E155">
        <f>E154/10000</f>
        <v>3.2626110111169933</v>
      </c>
      <c r="F155" t="str">
        <v/>
      </c>
      <c r="G155" t="str">
        <v/>
      </c>
      <c r="H155" t="str">
        <v/>
      </c>
      <c r="I155">
        <f>E155*Assumptions!$B$4</f>
        <v>308.15361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Month 24 — 25,000 Users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Category</v>
      </c>
      <c r="B159" t="str">
        <v>Unit</v>
      </c>
      <c r="C159" t="str">
        <v>Quantity</v>
      </c>
      <c r="D159" t="str">
        <v>Unit Cost (USD)</v>
      </c>
      <c r="E159" t="str">
        <v>Monthly Cost (USD)</v>
      </c>
      <c r="F159" t="str">
        <v>Annual Cost (USD)</v>
      </c>
      <c r="G159" t="str">
        <v>6-Month Cost (USD)</v>
      </c>
      <c r="H159" t="str">
        <v>Notes</v>
      </c>
      <c r="I159" t="str">
        <v>Monthly Cost (INR)</v>
      </c>
      <c r="J159" t="str">
        <v>Annual Cost (INR)</v>
      </c>
      <c r="K159" t="str">
        <v>6-Month Cost (INR)</v>
      </c>
    </row>
    <row r="160">
      <c r="A160" t="str">
        <v>AWS Infrastructure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compute</v>
      </c>
      <c r="B161" t="str">
        <v>Month</v>
      </c>
      <c r="C161">
        <v>1</v>
      </c>
      <c r="D161">
        <v>2500</v>
      </c>
      <c r="E161">
        <f>C161*D161</f>
        <v>2500</v>
      </c>
      <c r="F161">
        <f>E161*12</f>
        <v>30000</v>
      </c>
      <c r="G161">
        <f>E161*6</f>
        <v>15000</v>
      </c>
      <c r="H161" t="str">
        <v/>
      </c>
      <c r="I161">
        <f>E161*Assumptions!$B$4</f>
        <v>236125</v>
      </c>
      <c r="J161">
        <f>F161*Assumptions!$B$4</f>
        <v>2833500</v>
      </c>
      <c r="K161">
        <f>G161*Assumptions!$B$4</f>
        <v>1416750</v>
      </c>
    </row>
    <row r="162">
      <c r="A162" t="str">
        <v>database</v>
      </c>
      <c r="B162" t="str">
        <v>Month</v>
      </c>
      <c r="C162">
        <v>1</v>
      </c>
      <c r="D162">
        <v>1800</v>
      </c>
      <c r="E162">
        <f>C162*D162</f>
        <v>1800</v>
      </c>
      <c r="F162">
        <f>E162*12</f>
        <v>21600</v>
      </c>
      <c r="G162">
        <f>E162*6</f>
        <v>10800</v>
      </c>
      <c r="H162" t="str">
        <v/>
      </c>
      <c r="I162">
        <f>E162*Assumptions!$B$4</f>
        <v>170010</v>
      </c>
      <c r="J162">
        <f>F162*Assumptions!$B$4</f>
        <v>2040120</v>
      </c>
      <c r="K162">
        <f>G162*Assumptions!$B$4</f>
        <v>1020060</v>
      </c>
    </row>
    <row r="163">
      <c r="A163" t="str">
        <v>storage</v>
      </c>
      <c r="B163" t="str">
        <v>Month</v>
      </c>
      <c r="C163">
        <v>1</v>
      </c>
      <c r="D163">
        <v>600</v>
      </c>
      <c r="E163">
        <f>C163*D163</f>
        <v>600</v>
      </c>
      <c r="F163">
        <f>E163*12</f>
        <v>7200</v>
      </c>
      <c r="G163">
        <f>E163*6</f>
        <v>3600</v>
      </c>
      <c r="H163" t="str">
        <v/>
      </c>
      <c r="I163">
        <f>E163*Assumptions!$B$4</f>
        <v>56670</v>
      </c>
      <c r="J163">
        <f>F163*Assumptions!$B$4</f>
        <v>680040</v>
      </c>
      <c r="K163">
        <f>G163*Assumptions!$B$4</f>
        <v>340020</v>
      </c>
    </row>
    <row r="164">
      <c r="A164" t="str">
        <v>networking</v>
      </c>
      <c r="B164" t="str">
        <v>Month</v>
      </c>
      <c r="C164">
        <v>1</v>
      </c>
      <c r="D164">
        <v>400</v>
      </c>
      <c r="E164">
        <f>C164*D164</f>
        <v>400</v>
      </c>
      <c r="F164">
        <f>E164*12</f>
        <v>4800</v>
      </c>
      <c r="G164">
        <f>E164*6</f>
        <v>2400</v>
      </c>
      <c r="H164" t="str">
        <v/>
      </c>
      <c r="I164">
        <f>E164*Assumptions!$B$4</f>
        <v>37780</v>
      </c>
      <c r="J164">
        <f>F164*Assumptions!$B$4</f>
        <v>453360</v>
      </c>
      <c r="K164">
        <f>G164*Assumptions!$B$4</f>
        <v>226680</v>
      </c>
    </row>
    <row r="165">
      <c r="A165" t="str">
        <v>data_transfer</v>
      </c>
      <c r="B165" t="str">
        <v>Month</v>
      </c>
      <c r="C165">
        <v>1</v>
      </c>
      <c r="D165">
        <v>500</v>
      </c>
      <c r="E165">
        <f>C165*D165</f>
        <v>500</v>
      </c>
      <c r="F165">
        <f>E165*12</f>
        <v>6000</v>
      </c>
      <c r="G165">
        <f>E165*6</f>
        <v>3000</v>
      </c>
      <c r="H165" t="str">
        <v/>
      </c>
      <c r="I165">
        <f>E165*Assumptions!$B$4</f>
        <v>47225</v>
      </c>
      <c r="J165">
        <f>F165*Assumptions!$B$4</f>
        <v>566700</v>
      </c>
      <c r="K165">
        <f>G165*Assumptions!$B$4</f>
        <v>283350</v>
      </c>
    </row>
    <row r="166">
      <c r="A166" t="str">
        <v>monitoring</v>
      </c>
      <c r="B166" t="str">
        <v>Month</v>
      </c>
      <c r="C166">
        <v>1</v>
      </c>
      <c r="D166">
        <v>150</v>
      </c>
      <c r="E166">
        <f>C166*D166</f>
        <v>150</v>
      </c>
      <c r="F166">
        <f>E166*12</f>
        <v>1800</v>
      </c>
      <c r="G166">
        <f>E166*6</f>
        <v>900</v>
      </c>
      <c r="H166" t="str">
        <v/>
      </c>
      <c r="I166">
        <f>E166*Assumptions!$B$4</f>
        <v>14167.5</v>
      </c>
      <c r="J166">
        <f>F166*Assumptions!$B$4</f>
        <v>170010</v>
      </c>
      <c r="K166">
        <f>G166*Assumptions!$B$4</f>
        <v>85005</v>
      </c>
    </row>
    <row r="167">
      <c r="A167" t="str">
        <v>backups</v>
      </c>
      <c r="B167" t="str">
        <v>Month</v>
      </c>
      <c r="C167">
        <v>1</v>
      </c>
      <c r="D167">
        <v>250</v>
      </c>
      <c r="E167">
        <f>C167*D167</f>
        <v>250</v>
      </c>
      <c r="F167">
        <f>E167*12</f>
        <v>3000</v>
      </c>
      <c r="G167">
        <f>E167*6</f>
        <v>1500</v>
      </c>
      <c r="H167" t="str">
        <v/>
      </c>
      <c r="I167">
        <f>E167*Assumptions!$B$4</f>
        <v>23612.5</v>
      </c>
      <c r="J167">
        <f>F167*Assumptions!$B$4</f>
        <v>283350</v>
      </c>
      <c r="K167">
        <f>G167*Assumptions!$B$4</f>
        <v>141675</v>
      </c>
    </row>
    <row r="168">
      <c r="A168" t="str">
        <v>AWS Subtotal</v>
      </c>
      <c r="B168" t="str">
        <v/>
      </c>
      <c r="C168" t="str">
        <v/>
      </c>
      <c r="D168" t="str">
        <v/>
      </c>
      <c r="E168">
        <f>SUM(E161:E167)</f>
        <v>6200</v>
      </c>
      <c r="F168">
        <f>E168*12</f>
        <v>74400</v>
      </c>
      <c r="G168">
        <f>E168*6</f>
        <v>37200</v>
      </c>
      <c r="H168" t="str">
        <v/>
      </c>
      <c r="I168">
        <f>E168*Assumptions!$B$4</f>
        <v>585590</v>
      </c>
      <c r="J168">
        <f>F168*Assumptions!$B$4</f>
        <v>7027080</v>
      </c>
      <c r="K168">
        <f>G168*Assumptions!$B$4</f>
        <v>3513540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>Engineering Team (India-based)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Senior Dev</v>
      </c>
      <c r="B171" t="str">
        <v>Person</v>
      </c>
      <c r="C171">
        <v>3</v>
      </c>
      <c r="D171">
        <f>Assumptions!$B$11/Assumptions!$B$4</f>
        <v>3529.2006352567496</v>
      </c>
      <c r="E171">
        <f>C171*D171</f>
        <v>10587.601905770249</v>
      </c>
      <c r="F171">
        <f>E171*12</f>
        <v>127051.22286924298</v>
      </c>
      <c r="G171">
        <f>E171*6</f>
        <v>63525.61143462149</v>
      </c>
      <c r="H171" t="str">
        <v/>
      </c>
      <c r="I171">
        <f>E171*Assumptions!$B$4</f>
        <v>999999</v>
      </c>
      <c r="J171">
        <f>F171*Assumptions!$B$4</f>
        <v>11999988</v>
      </c>
      <c r="K171">
        <f>G171*Assumptions!$B$4</f>
        <v>5999994</v>
      </c>
    </row>
    <row r="172">
      <c r="A172" t="str">
        <v>Mid-level Dev</v>
      </c>
      <c r="B172" t="str">
        <v>Person</v>
      </c>
      <c r="C172">
        <v>4</v>
      </c>
      <c r="D172">
        <f>Assumptions!$B$10/Assumptions!$B$4</f>
        <v>1941.0587612493382</v>
      </c>
      <c r="E172">
        <f>C172*D172</f>
        <v>7764.235044997353</v>
      </c>
      <c r="F172">
        <f>E172*12</f>
        <v>93170.82053996823</v>
      </c>
      <c r="G172">
        <f>E172*6</f>
        <v>46585.41026998412</v>
      </c>
      <c r="H172" t="str">
        <v/>
      </c>
      <c r="I172">
        <f>E172*Assumptions!$B$4</f>
        <v>733332</v>
      </c>
      <c r="J172">
        <f>F172*Assumptions!$B$4</f>
        <v>8799984</v>
      </c>
      <c r="K172">
        <f>G172*Assumptions!$B$4</f>
        <v>4399992</v>
      </c>
    </row>
    <row r="173">
      <c r="A173" t="str">
        <v>Junior Dev</v>
      </c>
      <c r="B173" t="str">
        <v>Person</v>
      </c>
      <c r="C173">
        <v>3</v>
      </c>
      <c r="D173">
        <f>Assumptions!$B$9/Assumptions!$B$4</f>
        <v>882.297511911064</v>
      </c>
      <c r="E173">
        <f>C173*D173</f>
        <v>2646.892535733192</v>
      </c>
      <c r="F173">
        <f>E173*12</f>
        <v>31762.710428798302</v>
      </c>
      <c r="G173">
        <f>E173*6</f>
        <v>15881.355214399151</v>
      </c>
      <c r="H173" t="str">
        <v/>
      </c>
      <c r="I173">
        <f>E173*Assumptions!$B$4</f>
        <v>249998.99999999997</v>
      </c>
      <c r="J173">
        <f>F173*Assumptions!$B$4</f>
        <v>2999987.9999999995</v>
      </c>
      <c r="K173">
        <f>G173*Assumptions!$B$4</f>
        <v>1499993.9999999998</v>
      </c>
    </row>
    <row r="174">
      <c r="A174" t="str">
        <v>DevOps</v>
      </c>
      <c r="B174" t="str">
        <v>Person</v>
      </c>
      <c r="C174">
        <v>2</v>
      </c>
      <c r="D174">
        <f>Assumptions!$B$13/Assumptions!$B$4</f>
        <v>1941.0587612493382</v>
      </c>
      <c r="E174">
        <f>C174*D174</f>
        <v>3882.1175224986764</v>
      </c>
      <c r="F174">
        <f>E174*12</f>
        <v>46585.41026998412</v>
      </c>
      <c r="G174">
        <f>E174*6</f>
        <v>23292.70513499206</v>
      </c>
      <c r="H174" t="str">
        <v/>
      </c>
      <c r="I174">
        <f>E174*Assumptions!$B$4</f>
        <v>366666</v>
      </c>
      <c r="J174">
        <f>F174*Assumptions!$B$4</f>
        <v>4399992</v>
      </c>
      <c r="K174">
        <f>G174*Assumptions!$B$4</f>
        <v>2199996</v>
      </c>
    </row>
    <row r="175">
      <c r="A175" t="str">
        <v>QA</v>
      </c>
      <c r="B175" t="str">
        <v>Person</v>
      </c>
      <c r="C175">
        <v>2</v>
      </c>
      <c r="D175">
        <f>Assumptions!$B$14/Assumptions!$B$4</f>
        <v>1058.7612493382742</v>
      </c>
      <c r="E175">
        <f>C175*D175</f>
        <v>2117.5224986765484</v>
      </c>
      <c r="F175">
        <f>E175*12</f>
        <v>25410.269984118582</v>
      </c>
      <c r="G175">
        <f>E175*6</f>
        <v>12705.134992059291</v>
      </c>
      <c r="H175" t="str">
        <v/>
      </c>
      <c r="I175">
        <f>E175*Assumptions!$B$4</f>
        <v>200000</v>
      </c>
      <c r="J175">
        <f>F175*Assumptions!$B$4</f>
        <v>2400000</v>
      </c>
      <c r="K175">
        <f>G175*Assumptions!$B$4</f>
        <v>1200000</v>
      </c>
    </row>
    <row r="176">
      <c r="A176" t="str">
        <v>Product Manager</v>
      </c>
      <c r="B176" t="str">
        <v>Person</v>
      </c>
      <c r="C176">
        <v>1</v>
      </c>
      <c r="D176">
        <f>Assumptions!$B$15/Assumptions!$B$4</f>
        <v>2470.439385918475</v>
      </c>
      <c r="E176">
        <f>C176*D176</f>
        <v>2470.439385918475</v>
      </c>
      <c r="F176">
        <f>E176*12</f>
        <v>29645.272631021704</v>
      </c>
      <c r="G176">
        <f>E176*6</f>
        <v>14822.636315510852</v>
      </c>
      <c r="H176" t="str">
        <v/>
      </c>
      <c r="I176">
        <f>E176*Assumptions!$B$4</f>
        <v>233333</v>
      </c>
      <c r="J176">
        <f>F176*Assumptions!$B$4</f>
        <v>2799996</v>
      </c>
      <c r="K176">
        <f>G176*Assumptions!$B$4</f>
        <v>1399998</v>
      </c>
    </row>
    <row r="177">
      <c r="A177" t="str">
        <v>Designer</v>
      </c>
      <c r="B177" t="str">
        <v>Person</v>
      </c>
      <c r="C177">
        <v>1</v>
      </c>
      <c r="D177">
        <f>Assumptions!$B$16/Assumptions!$B$4</f>
        <v>1411.6781365802012</v>
      </c>
      <c r="E177">
        <f>C177*D177</f>
        <v>1411.6781365802012</v>
      </c>
      <c r="F177">
        <f>E177*12</f>
        <v>16940.137638962413</v>
      </c>
      <c r="G177">
        <f>E177*6</f>
        <v>8470.068819481206</v>
      </c>
      <c r="H177" t="str">
        <v/>
      </c>
      <c r="I177">
        <f>E177*Assumptions!$B$4</f>
        <v>133333</v>
      </c>
      <c r="J177">
        <f>F177*Assumptions!$B$4</f>
        <v>1599996</v>
      </c>
      <c r="K177">
        <f>G177*Assumptions!$B$4</f>
        <v>799998</v>
      </c>
    </row>
    <row r="178">
      <c r="A178" t="str">
        <v>Tech Lead</v>
      </c>
      <c r="B178" t="str">
        <v>Person</v>
      </c>
      <c r="C178">
        <v>1</v>
      </c>
      <c r="D178">
        <f>Assumptions!$B$12/Assumptions!$B$4</f>
        <v>4852.652196929592</v>
      </c>
      <c r="E178">
        <f>C178*D178</f>
        <v>4852.652196929592</v>
      </c>
      <c r="F178">
        <f>E178*12</f>
        <v>58231.8263631551</v>
      </c>
      <c r="G178">
        <f>E178*6</f>
        <v>29115.91318157755</v>
      </c>
      <c r="H178" t="str">
        <v/>
      </c>
      <c r="I178">
        <f>E178*Assumptions!$B$4</f>
        <v>458332.99999999994</v>
      </c>
      <c r="J178">
        <f>F178*Assumptions!$B$4</f>
        <v>5499995.999999999</v>
      </c>
      <c r="K178">
        <f>G178*Assumptions!$B$4</f>
        <v>2749997.9999999995</v>
      </c>
    </row>
    <row r="179">
      <c r="A179" t="str">
        <v>Shared Flex Office (2-3 days/week)</v>
      </c>
      <c r="B179" t="str">
        <v>Month</v>
      </c>
      <c r="C179">
        <v>1</v>
      </c>
      <c r="D179">
        <v>1200</v>
      </c>
      <c r="E179">
        <f>C179*D179</f>
        <v>1200</v>
      </c>
      <c r="F179">
        <f>E179*12</f>
        <v>14400</v>
      </c>
      <c r="G179">
        <f>E179*6</f>
        <v>7200</v>
      </c>
      <c r="H179" t="str">
        <v/>
      </c>
      <c r="I179">
        <f>E179*Assumptions!$B$4</f>
        <v>113340</v>
      </c>
      <c r="J179">
        <f>F179*Assumptions!$B$4</f>
        <v>1360080</v>
      </c>
      <c r="K179">
        <f>G179*Assumptions!$B$4</f>
        <v>680040</v>
      </c>
    </row>
    <row r="180">
      <c r="A180" t="str">
        <v>Utilities &amp; Stipend</v>
      </c>
      <c r="B180" t="str">
        <v>Month</v>
      </c>
      <c r="C180">
        <v>1</v>
      </c>
      <c r="D180">
        <v>300</v>
      </c>
      <c r="E180">
        <f>C180*D180</f>
        <v>300</v>
      </c>
      <c r="F180">
        <f>E180*12</f>
        <v>3600</v>
      </c>
      <c r="G180">
        <f>E180*6</f>
        <v>1800</v>
      </c>
      <c r="H180" t="str">
        <v/>
      </c>
      <c r="I180">
        <f>E180*Assumptions!$B$4</f>
        <v>28335</v>
      </c>
      <c r="J180">
        <f>F180*Assumptions!$B$4</f>
        <v>340020</v>
      </c>
      <c r="K180">
        <f>G180*Assumptions!$B$4</f>
        <v>170010</v>
      </c>
    </row>
    <row r="181">
      <c r="A181" t="str">
        <v>Team Subtotal</v>
      </c>
      <c r="B181" t="str">
        <v/>
      </c>
      <c r="C181" t="str">
        <v/>
      </c>
      <c r="D181" t="str">
        <v/>
      </c>
      <c r="E181">
        <f>SUM(E171:E180)</f>
        <v>37233.139227104286</v>
      </c>
      <c r="F181">
        <f>E181*12</f>
        <v>446797.67072525143</v>
      </c>
      <c r="G181">
        <f>E181*6</f>
        <v>223398.83536262572</v>
      </c>
      <c r="H181" t="str">
        <v/>
      </c>
      <c r="I181">
        <f>E181*Assumptions!$B$4</f>
        <v>3516670</v>
      </c>
      <c r="J181">
        <f>F181*Assumptions!$B$4</f>
        <v>42200040</v>
      </c>
      <c r="K181">
        <f>G181*Assumptions!$B$4</f>
        <v>21100020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>Customer Acquisition (CAC-based)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</row>
    <row r="184">
      <c r="A184" t="str">
        <v>New user acquisition (paid + organic, blended)</v>
      </c>
      <c r="B184" t="str">
        <v>New users/mo</v>
      </c>
      <c r="C184">
        <v>2500</v>
      </c>
      <c r="D184">
        <f>Assumptions!$B$25</f>
        <v>6</v>
      </c>
      <c r="E184">
        <f>C184*D184</f>
        <v>15000</v>
      </c>
      <c r="F184">
        <f>E184*12</f>
        <v>180000</v>
      </c>
      <c r="G184">
        <f>E184*6</f>
        <v>90000</v>
      </c>
      <c r="H184" t="str">
        <v>15,000 net-new users over Months 19-24 (10,000→25,000) ÷ 6mo = 2,500/mo net-new × Year 2 blended CAC ($6). Added 2026-09-08 -- previously the CAC stated in the Pitch Deck's unit-economics table was never charged against this cost model.</v>
      </c>
      <c r="I184">
        <f>E184*Assumptions!$B$4</f>
        <v>1416750</v>
      </c>
      <c r="J184">
        <f>F184*Assumptions!$B$4</f>
        <v>17001000</v>
      </c>
      <c r="K184">
        <f>G184*Assumptions!$B$4</f>
        <v>8500500</v>
      </c>
    </row>
    <row r="185">
      <c r="A185" t="str">
        <v>Customer Acquisition Subtotal</v>
      </c>
      <c r="B185" t="str">
        <v/>
      </c>
      <c r="C185" t="str">
        <v/>
      </c>
      <c r="D185" t="str">
        <v/>
      </c>
      <c r="E185">
        <f>SUM(E184:E184)</f>
        <v>15000</v>
      </c>
      <c r="F185">
        <f>E185*12</f>
        <v>180000</v>
      </c>
      <c r="G185">
        <f>E185*6</f>
        <v>90000</v>
      </c>
      <c r="H185" t="str">
        <v/>
      </c>
      <c r="I185">
        <f>E185*Assumptions!$B$4</f>
        <v>1416750</v>
      </c>
      <c r="J185">
        <f>F185*Assumptions!$B$4</f>
        <v>17001000</v>
      </c>
      <c r="K185">
        <f>G185*Assumptions!$B$4</f>
        <v>8500500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>Operating Costs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SaaS Tools (Jira, Slack, etc.)</v>
      </c>
      <c r="B188" t="str">
        <v>Month</v>
      </c>
      <c r="C188">
        <v>1</v>
      </c>
      <c r="D188">
        <v>300</v>
      </c>
      <c r="E188">
        <f>C188*D188</f>
        <v>300</v>
      </c>
      <c r="F188">
        <f>E188*12</f>
        <v>3600</v>
      </c>
      <c r="G188">
        <f>E188*6</f>
        <v>1800</v>
      </c>
      <c r="H188" t="str">
        <v/>
      </c>
      <c r="I188">
        <f>E188*Assumptions!$B$4</f>
        <v>28335</v>
      </c>
      <c r="J188">
        <f>F188*Assumptions!$B$4</f>
        <v>340020</v>
      </c>
      <c r="K188">
        <f>G188*Assumptions!$B$4</f>
        <v>170010</v>
      </c>
    </row>
    <row r="189">
      <c r="A189" t="str">
        <v>DevOps Tools (CI/CD, monitoring)</v>
      </c>
      <c r="B189" t="str">
        <v>Month</v>
      </c>
      <c r="C189">
        <v>1</v>
      </c>
      <c r="D189">
        <v>200</v>
      </c>
      <c r="E189">
        <f>C189*D189</f>
        <v>200</v>
      </c>
      <c r="F189">
        <f>E189*12</f>
        <v>2400</v>
      </c>
      <c r="G189">
        <f>E189*6</f>
        <v>1200</v>
      </c>
      <c r="H189" t="str">
        <v/>
      </c>
      <c r="I189">
        <f>E189*Assumptions!$B$4</f>
        <v>18890</v>
      </c>
      <c r="J189">
        <f>F189*Assumptions!$B$4</f>
        <v>226680</v>
      </c>
      <c r="K189">
        <f>G189*Assumptions!$B$4</f>
        <v>113340</v>
      </c>
    </row>
    <row r="190">
      <c r="A190" t="str">
        <v>Communication &amp; Collaboration</v>
      </c>
      <c r="B190" t="str">
        <v>Month</v>
      </c>
      <c r="C190">
        <v>1</v>
      </c>
      <c r="D190">
        <v>150</v>
      </c>
      <c r="E190">
        <f>C190*D190</f>
        <v>150</v>
      </c>
      <c r="F190">
        <f>E190*12</f>
        <v>1800</v>
      </c>
      <c r="G190">
        <f>E190*6</f>
        <v>900</v>
      </c>
      <c r="H190" t="str">
        <v/>
      </c>
      <c r="I190">
        <f>E190*Assumptions!$B$4</f>
        <v>14167.5</v>
      </c>
      <c r="J190">
        <f>F190*Assumptions!$B$4</f>
        <v>170010</v>
      </c>
      <c r="K190">
        <f>G190*Assumptions!$B$4</f>
        <v>85005</v>
      </c>
    </row>
    <row r="191">
      <c r="A191" t="str">
        <v>Professional Development</v>
      </c>
      <c r="B191" t="str">
        <v>Month</v>
      </c>
      <c r="C191">
        <v>1</v>
      </c>
      <c r="D191">
        <v>200</v>
      </c>
      <c r="E191">
        <f>C191*D191</f>
        <v>200</v>
      </c>
      <c r="F191">
        <f>E191*12</f>
        <v>2400</v>
      </c>
      <c r="G191">
        <f>E191*6</f>
        <v>1200</v>
      </c>
      <c r="H191" t="str">
        <v/>
      </c>
      <c r="I191">
        <f>E191*Assumptions!$B$4</f>
        <v>18890</v>
      </c>
      <c r="J191">
        <f>F191*Assumptions!$B$4</f>
        <v>226680</v>
      </c>
      <c r="K191">
        <f>G191*Assumptions!$B$4</f>
        <v>113340</v>
      </c>
    </row>
    <row r="192">
      <c r="A192" t="str">
        <v>Insurance &amp; Compliance</v>
      </c>
      <c r="B192" t="str">
        <v>Month</v>
      </c>
      <c r="C192">
        <v>1</v>
      </c>
      <c r="D192">
        <v>300</v>
      </c>
      <c r="E192">
        <f>C192*D192</f>
        <v>300</v>
      </c>
      <c r="F192">
        <f>E192*12</f>
        <v>3600</v>
      </c>
      <c r="G192">
        <f>E192*6</f>
        <v>1800</v>
      </c>
      <c r="H192" t="str">
        <v/>
      </c>
      <c r="I192">
        <f>E192*Assumptions!$B$4</f>
        <v>28335</v>
      </c>
      <c r="J192">
        <f>F192*Assumptions!$B$4</f>
        <v>340020</v>
      </c>
      <c r="K192">
        <f>G192*Assumptions!$B$4</f>
        <v>170010</v>
      </c>
    </row>
    <row r="193">
      <c r="A193" t="str">
        <v>Marketing &amp; Community</v>
      </c>
      <c r="B193" t="str">
        <v>Month</v>
      </c>
      <c r="C193">
        <v>1</v>
      </c>
      <c r="D193">
        <v>500</v>
      </c>
      <c r="E193">
        <f>C193*D193</f>
        <v>500</v>
      </c>
      <c r="F193">
        <f>E193*12</f>
        <v>6000</v>
      </c>
      <c r="G193">
        <f>E193*6</f>
        <v>3000</v>
      </c>
      <c r="H193" t="str">
        <v/>
      </c>
      <c r="I193">
        <f>E193*Assumptions!$B$4</f>
        <v>47225</v>
      </c>
      <c r="J193">
        <f>F193*Assumptions!$B$4</f>
        <v>566700</v>
      </c>
      <c r="K193">
        <f>G193*Assumptions!$B$4</f>
        <v>283350</v>
      </c>
    </row>
    <row r="194">
      <c r="A194" t="str">
        <v>Operating Subtotal</v>
      </c>
      <c r="B194" t="str">
        <v/>
      </c>
      <c r="C194" t="str">
        <v/>
      </c>
      <c r="D194" t="str">
        <v/>
      </c>
      <c r="E194">
        <f>SUM(E188:E193)</f>
        <v>1650</v>
      </c>
      <c r="F194">
        <f>E194*12</f>
        <v>19800</v>
      </c>
      <c r="G194">
        <f>E194*6</f>
        <v>9900</v>
      </c>
      <c r="H194" t="str">
        <v/>
      </c>
      <c r="I194">
        <f>E194*Assumptions!$B$4</f>
        <v>155842.5</v>
      </c>
      <c r="J194">
        <f>F194*Assumptions!$B$4</f>
        <v>1870110</v>
      </c>
      <c r="K194">
        <f>G194*Assumptions!$B$4</f>
        <v>935055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>TOTAL MONTHLY COST</v>
      </c>
      <c r="B196" t="str">
        <v/>
      </c>
      <c r="C196" t="str">
        <v/>
      </c>
      <c r="D196" t="str">
        <v/>
      </c>
      <c r="E196">
        <f>E168+E181+E185+E194</f>
        <v>60083.139227104286</v>
      </c>
      <c r="F196">
        <f>E196*12</f>
        <v>720997.6707252514</v>
      </c>
      <c r="G196">
        <f>E196*6</f>
        <v>360498.8353626257</v>
      </c>
      <c r="H196" t="str">
        <v/>
      </c>
      <c r="I196">
        <f>E196*Assumptions!$B$4</f>
        <v>5674852.5</v>
      </c>
      <c r="J196">
        <f>F196*Assumptions!$B$4</f>
        <v>68098230</v>
      </c>
      <c r="K196">
        <f>G196*Assumptions!$B$4</f>
        <v>34049115</v>
      </c>
    </row>
    <row r="197">
      <c r="A197" t="str">
        <v>Cost per User (Monthly)</v>
      </c>
      <c r="B197" t="str">
        <v/>
      </c>
      <c r="C197" t="str">
        <v/>
      </c>
      <c r="D197" t="str">
        <v/>
      </c>
      <c r="E197">
        <f>E196/25000</f>
        <v>2.4033255690841715</v>
      </c>
      <c r="F197" t="str">
        <v/>
      </c>
      <c r="G197" t="str">
        <v/>
      </c>
      <c r="H197" t="str">
        <v/>
      </c>
      <c r="I197">
        <f>E197*Assumptions!$B$4</f>
        <v>226.9941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>Month 30 — 50,000 Users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>Category</v>
      </c>
      <c r="B201" t="str">
        <v>Unit</v>
      </c>
      <c r="C201" t="str">
        <v>Quantity</v>
      </c>
      <c r="D201" t="str">
        <v>Unit Cost (USD)</v>
      </c>
      <c r="E201" t="str">
        <v>Monthly Cost (USD)</v>
      </c>
      <c r="F201" t="str">
        <v>Annual Cost (USD)</v>
      </c>
      <c r="G201" t="str">
        <v>6-Month Cost (USD)</v>
      </c>
      <c r="H201" t="str">
        <v>Notes</v>
      </c>
      <c r="I201" t="str">
        <v>Monthly Cost (INR)</v>
      </c>
      <c r="J201" t="str">
        <v>Annual Cost (INR)</v>
      </c>
      <c r="K201" t="str">
        <v>6-Month Cost (INR)</v>
      </c>
    </row>
    <row r="202">
      <c r="A202" t="str">
        <v>AWS Infrastructure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>compute</v>
      </c>
      <c r="B203" t="str">
        <v>Month</v>
      </c>
      <c r="C203">
        <v>1</v>
      </c>
      <c r="D203">
        <v>4500</v>
      </c>
      <c r="E203">
        <f>C203*D203</f>
        <v>4500</v>
      </c>
      <c r="F203">
        <f>E203*12</f>
        <v>54000</v>
      </c>
      <c r="G203">
        <f>E203*6</f>
        <v>27000</v>
      </c>
      <c r="H203" t="str">
        <v/>
      </c>
      <c r="I203">
        <f>E203*Assumptions!$B$4</f>
        <v>425025</v>
      </c>
      <c r="J203">
        <f>F203*Assumptions!$B$4</f>
        <v>5100300</v>
      </c>
      <c r="K203">
        <f>G203*Assumptions!$B$4</f>
        <v>2550150</v>
      </c>
    </row>
    <row r="204">
      <c r="A204" t="str">
        <v>database</v>
      </c>
      <c r="B204" t="str">
        <v>Month</v>
      </c>
      <c r="C204">
        <v>1</v>
      </c>
      <c r="D204">
        <v>3200</v>
      </c>
      <c r="E204">
        <f>C204*D204</f>
        <v>3200</v>
      </c>
      <c r="F204">
        <f>E204*12</f>
        <v>38400</v>
      </c>
      <c r="G204">
        <f>E204*6</f>
        <v>19200</v>
      </c>
      <c r="H204" t="str">
        <v/>
      </c>
      <c r="I204">
        <f>E204*Assumptions!$B$4</f>
        <v>302240</v>
      </c>
      <c r="J204">
        <f>F204*Assumptions!$B$4</f>
        <v>3626880</v>
      </c>
      <c r="K204">
        <f>G204*Assumptions!$B$4</f>
        <v>1813440</v>
      </c>
    </row>
    <row r="205">
      <c r="A205" t="str">
        <v>storage</v>
      </c>
      <c r="B205" t="str">
        <v>Month</v>
      </c>
      <c r="C205">
        <v>1</v>
      </c>
      <c r="D205">
        <v>1000</v>
      </c>
      <c r="E205">
        <f>C205*D205</f>
        <v>1000</v>
      </c>
      <c r="F205">
        <f>E205*12</f>
        <v>12000</v>
      </c>
      <c r="G205">
        <f>E205*6</f>
        <v>6000</v>
      </c>
      <c r="H205" t="str">
        <v/>
      </c>
      <c r="I205">
        <f>E205*Assumptions!$B$4</f>
        <v>94450</v>
      </c>
      <c r="J205">
        <f>F205*Assumptions!$B$4</f>
        <v>1133400</v>
      </c>
      <c r="K205">
        <f>G205*Assumptions!$B$4</f>
        <v>566700</v>
      </c>
    </row>
    <row r="206">
      <c r="A206" t="str">
        <v>networking</v>
      </c>
      <c r="B206" t="str">
        <v>Month</v>
      </c>
      <c r="C206">
        <v>1</v>
      </c>
      <c r="D206">
        <v>600</v>
      </c>
      <c r="E206">
        <f>C206*D206</f>
        <v>600</v>
      </c>
      <c r="F206">
        <f>E206*12</f>
        <v>7200</v>
      </c>
      <c r="G206">
        <f>E206*6</f>
        <v>3600</v>
      </c>
      <c r="H206" t="str">
        <v/>
      </c>
      <c r="I206">
        <f>E206*Assumptions!$B$4</f>
        <v>56670</v>
      </c>
      <c r="J206">
        <f>F206*Assumptions!$B$4</f>
        <v>680040</v>
      </c>
      <c r="K206">
        <f>G206*Assumptions!$B$4</f>
        <v>340020</v>
      </c>
    </row>
    <row r="207">
      <c r="A207" t="str">
        <v>data_transfer</v>
      </c>
      <c r="B207" t="str">
        <v>Month</v>
      </c>
      <c r="C207">
        <v>1</v>
      </c>
      <c r="D207">
        <v>800</v>
      </c>
      <c r="E207">
        <f>C207*D207</f>
        <v>800</v>
      </c>
      <c r="F207">
        <f>E207*12</f>
        <v>9600</v>
      </c>
      <c r="G207">
        <f>E207*6</f>
        <v>4800</v>
      </c>
      <c r="H207" t="str">
        <v/>
      </c>
      <c r="I207">
        <f>E207*Assumptions!$B$4</f>
        <v>75560</v>
      </c>
      <c r="J207">
        <f>F207*Assumptions!$B$4</f>
        <v>906720</v>
      </c>
      <c r="K207">
        <f>G207*Assumptions!$B$4</f>
        <v>453360</v>
      </c>
    </row>
    <row r="208">
      <c r="A208" t="str">
        <v>monitoring</v>
      </c>
      <c r="B208" t="str">
        <v>Month</v>
      </c>
      <c r="C208">
        <v>1</v>
      </c>
      <c r="D208">
        <v>250</v>
      </c>
      <c r="E208">
        <f>C208*D208</f>
        <v>250</v>
      </c>
      <c r="F208">
        <f>E208*12</f>
        <v>3000</v>
      </c>
      <c r="G208">
        <f>E208*6</f>
        <v>1500</v>
      </c>
      <c r="H208" t="str">
        <v/>
      </c>
      <c r="I208">
        <f>E208*Assumptions!$B$4</f>
        <v>23612.5</v>
      </c>
      <c r="J208">
        <f>F208*Assumptions!$B$4</f>
        <v>283350</v>
      </c>
      <c r="K208">
        <f>G208*Assumptions!$B$4</f>
        <v>141675</v>
      </c>
    </row>
    <row r="209">
      <c r="A209" t="str">
        <v>backups</v>
      </c>
      <c r="B209" t="str">
        <v>Month</v>
      </c>
      <c r="C209">
        <v>1</v>
      </c>
      <c r="D209">
        <v>400</v>
      </c>
      <c r="E209">
        <f>C209*D209</f>
        <v>400</v>
      </c>
      <c r="F209">
        <f>E209*12</f>
        <v>4800</v>
      </c>
      <c r="G209">
        <f>E209*6</f>
        <v>2400</v>
      </c>
      <c r="H209" t="str">
        <v/>
      </c>
      <c r="I209">
        <f>E209*Assumptions!$B$4</f>
        <v>37780</v>
      </c>
      <c r="J209">
        <f>F209*Assumptions!$B$4</f>
        <v>453360</v>
      </c>
      <c r="K209">
        <f>G209*Assumptions!$B$4</f>
        <v>226680</v>
      </c>
    </row>
    <row r="210">
      <c r="A210" t="str">
        <v>AWS Subtotal</v>
      </c>
      <c r="B210" t="str">
        <v/>
      </c>
      <c r="C210" t="str">
        <v/>
      </c>
      <c r="D210" t="str">
        <v/>
      </c>
      <c r="E210">
        <f>SUM(E203:E209)</f>
        <v>10750</v>
      </c>
      <c r="F210">
        <f>E210*12</f>
        <v>129000</v>
      </c>
      <c r="G210">
        <f>E210*6</f>
        <v>64500</v>
      </c>
      <c r="H210" t="str">
        <v/>
      </c>
      <c r="I210">
        <f>E210*Assumptions!$B$4</f>
        <v>1015337.5</v>
      </c>
      <c r="J210">
        <f>F210*Assumptions!$B$4</f>
        <v>12184050</v>
      </c>
      <c r="K210">
        <f>G210*Assumptions!$B$4</f>
        <v>6092025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>Engineering Team (India-based)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</row>
    <row r="213">
      <c r="A213" t="str">
        <v>Senior Dev</v>
      </c>
      <c r="B213" t="str">
        <v>Person</v>
      </c>
      <c r="C213">
        <v>4</v>
      </c>
      <c r="D213">
        <f>Assumptions!$B$11/Assumptions!$B$4</f>
        <v>3529.2006352567496</v>
      </c>
      <c r="E213">
        <f>C213*D213</f>
        <v>14116.802541026998</v>
      </c>
      <c r="F213">
        <f>E213*12</f>
        <v>169401.63049232398</v>
      </c>
      <c r="G213">
        <f>E213*6</f>
        <v>84700.81524616199</v>
      </c>
      <c r="H213" t="str">
        <v/>
      </c>
      <c r="I213">
        <f>E213*Assumptions!$B$4</f>
        <v>1333332</v>
      </c>
      <c r="J213">
        <f>F213*Assumptions!$B$4</f>
        <v>15999984</v>
      </c>
      <c r="K213">
        <f>G213*Assumptions!$B$4</f>
        <v>7999992</v>
      </c>
    </row>
    <row r="214">
      <c r="A214" t="str">
        <v>Mid-level Dev</v>
      </c>
      <c r="B214" t="str">
        <v>Person</v>
      </c>
      <c r="C214">
        <v>5</v>
      </c>
      <c r="D214">
        <f>Assumptions!$B$10/Assumptions!$B$4</f>
        <v>1941.0587612493382</v>
      </c>
      <c r="E214">
        <f>C214*D214</f>
        <v>9705.293806246691</v>
      </c>
      <c r="F214">
        <f>E214*12</f>
        <v>116463.52567496028</v>
      </c>
      <c r="G214">
        <f>E214*6</f>
        <v>58231.76283748014</v>
      </c>
      <c r="H214" t="str">
        <v/>
      </c>
      <c r="I214">
        <f>E214*Assumptions!$B$4</f>
        <v>916665</v>
      </c>
      <c r="J214">
        <f>F214*Assumptions!$B$4</f>
        <v>10999980</v>
      </c>
      <c r="K214">
        <f>G214*Assumptions!$B$4</f>
        <v>5499990</v>
      </c>
    </row>
    <row r="215">
      <c r="A215" t="str">
        <v>Junior Dev</v>
      </c>
      <c r="B215" t="str">
        <v>Person</v>
      </c>
      <c r="C215">
        <v>4</v>
      </c>
      <c r="D215">
        <f>Assumptions!$B$9/Assumptions!$B$4</f>
        <v>882.297511911064</v>
      </c>
      <c r="E215">
        <f>C215*D215</f>
        <v>3529.190047644256</v>
      </c>
      <c r="F215">
        <f>E215*12</f>
        <v>42350.28057173107</v>
      </c>
      <c r="G215">
        <f>E215*6</f>
        <v>21175.140285865535</v>
      </c>
      <c r="H215" t="str">
        <v/>
      </c>
      <c r="I215">
        <f>E215*Assumptions!$B$4</f>
        <v>333332</v>
      </c>
      <c r="J215">
        <f>F215*Assumptions!$B$4</f>
        <v>3999983.9999999995</v>
      </c>
      <c r="K215">
        <f>G215*Assumptions!$B$4</f>
        <v>1999991.9999999998</v>
      </c>
    </row>
    <row r="216">
      <c r="A216" t="str">
        <v>DevOps</v>
      </c>
      <c r="B216" t="str">
        <v>Person</v>
      </c>
      <c r="C216">
        <v>2</v>
      </c>
      <c r="D216">
        <f>Assumptions!$B$13/Assumptions!$B$4</f>
        <v>1941.0587612493382</v>
      </c>
      <c r="E216">
        <f>C216*D216</f>
        <v>3882.1175224986764</v>
      </c>
      <c r="F216">
        <f>E216*12</f>
        <v>46585.41026998412</v>
      </c>
      <c r="G216">
        <f>E216*6</f>
        <v>23292.70513499206</v>
      </c>
      <c r="H216" t="str">
        <v/>
      </c>
      <c r="I216">
        <f>E216*Assumptions!$B$4</f>
        <v>366666</v>
      </c>
      <c r="J216">
        <f>F216*Assumptions!$B$4</f>
        <v>4399992</v>
      </c>
      <c r="K216">
        <f>G216*Assumptions!$B$4</f>
        <v>2199996</v>
      </c>
    </row>
    <row r="217">
      <c r="A217" t="str">
        <v>QA</v>
      </c>
      <c r="B217" t="str">
        <v>Person</v>
      </c>
      <c r="C217">
        <v>3</v>
      </c>
      <c r="D217">
        <f>Assumptions!$B$14/Assumptions!$B$4</f>
        <v>1058.7612493382742</v>
      </c>
      <c r="E217">
        <f>C217*D217</f>
        <v>3176.283748014823</v>
      </c>
      <c r="F217">
        <f>E217*12</f>
        <v>38115.40497617787</v>
      </c>
      <c r="G217">
        <f>E217*6</f>
        <v>19057.702488088937</v>
      </c>
      <c r="H217" t="str">
        <v/>
      </c>
      <c r="I217">
        <f>E217*Assumptions!$B$4</f>
        <v>300000</v>
      </c>
      <c r="J217">
        <f>F217*Assumptions!$B$4</f>
        <v>3600000.0000000005</v>
      </c>
      <c r="K217">
        <f>G217*Assumptions!$B$4</f>
        <v>1800000.0000000002</v>
      </c>
    </row>
    <row r="218">
      <c r="A218" t="str">
        <v>Product Manager</v>
      </c>
      <c r="B218" t="str">
        <v>Person</v>
      </c>
      <c r="C218">
        <v>2</v>
      </c>
      <c r="D218">
        <f>Assumptions!$B$15/Assumptions!$B$4</f>
        <v>2470.439385918475</v>
      </c>
      <c r="E218">
        <f>C218*D218</f>
        <v>4940.87877183695</v>
      </c>
      <c r="F218">
        <f>E218*12</f>
        <v>59290.54526204341</v>
      </c>
      <c r="G218">
        <f>E218*6</f>
        <v>29645.272631021704</v>
      </c>
      <c r="H218" t="str">
        <v/>
      </c>
      <c r="I218">
        <f>E218*Assumptions!$B$4</f>
        <v>466666</v>
      </c>
      <c r="J218">
        <f>F218*Assumptions!$B$4</f>
        <v>5599992</v>
      </c>
      <c r="K218">
        <f>G218*Assumptions!$B$4</f>
        <v>2799996</v>
      </c>
    </row>
    <row r="219">
      <c r="A219" t="str">
        <v>Designer</v>
      </c>
      <c r="B219" t="str">
        <v>Person</v>
      </c>
      <c r="C219">
        <v>2</v>
      </c>
      <c r="D219">
        <f>Assumptions!$B$16/Assumptions!$B$4</f>
        <v>1411.6781365802012</v>
      </c>
      <c r="E219">
        <f>C219*D219</f>
        <v>2823.3562731604025</v>
      </c>
      <c r="F219">
        <f>E219*12</f>
        <v>33880.275277924826</v>
      </c>
      <c r="G219">
        <f>E219*6</f>
        <v>16940.137638962413</v>
      </c>
      <c r="H219" t="str">
        <v/>
      </c>
      <c r="I219">
        <f>E219*Assumptions!$B$4</f>
        <v>266666</v>
      </c>
      <c r="J219">
        <f>F219*Assumptions!$B$4</f>
        <v>3199992</v>
      </c>
      <c r="K219">
        <f>G219*Assumptions!$B$4</f>
        <v>1599996</v>
      </c>
    </row>
    <row r="220">
      <c r="A220" t="str">
        <v>Tech Lead</v>
      </c>
      <c r="B220" t="str">
        <v>Person</v>
      </c>
      <c r="C220">
        <v>1</v>
      </c>
      <c r="D220">
        <f>Assumptions!$B$12/Assumptions!$B$4</f>
        <v>4852.652196929592</v>
      </c>
      <c r="E220">
        <f>C220*D220</f>
        <v>4852.652196929592</v>
      </c>
      <c r="F220">
        <f>E220*12</f>
        <v>58231.8263631551</v>
      </c>
      <c r="G220">
        <f>E220*6</f>
        <v>29115.91318157755</v>
      </c>
      <c r="H220" t="str">
        <v/>
      </c>
      <c r="I220">
        <f>E220*Assumptions!$B$4</f>
        <v>458332.99999999994</v>
      </c>
      <c r="J220">
        <f>F220*Assumptions!$B$4</f>
        <v>5499995.999999999</v>
      </c>
      <c r="K220">
        <f>G220*Assumptions!$B$4</f>
        <v>2749997.9999999995</v>
      </c>
    </row>
    <row r="221">
      <c r="A221" t="str">
        <v>Support</v>
      </c>
      <c r="B221" t="str">
        <v>Person</v>
      </c>
      <c r="C221">
        <v>2</v>
      </c>
      <c r="D221">
        <f>Assumptions!$B$17/Assumptions!$B$4</f>
        <v>529.3806246691371</v>
      </c>
      <c r="E221">
        <f>C221*D221</f>
        <v>1058.7612493382742</v>
      </c>
      <c r="F221">
        <f>E221*12</f>
        <v>12705.134992059291</v>
      </c>
      <c r="G221">
        <f>E221*6</f>
        <v>6352.567496029646</v>
      </c>
      <c r="H221" t="str">
        <v/>
      </c>
      <c r="I221">
        <f>E221*Assumptions!$B$4</f>
        <v>100000</v>
      </c>
      <c r="J221">
        <f>F221*Assumptions!$B$4</f>
        <v>1200000</v>
      </c>
      <c r="K221">
        <f>G221*Assumptions!$B$4</f>
        <v>600000</v>
      </c>
    </row>
    <row r="222">
      <c r="A222" t="str">
        <v>Shared Flex Office (2-3 days/week)</v>
      </c>
      <c r="B222" t="str">
        <v>Month</v>
      </c>
      <c r="C222">
        <v>1</v>
      </c>
      <c r="D222">
        <v>1200</v>
      </c>
      <c r="E222">
        <f>C222*D222</f>
        <v>1200</v>
      </c>
      <c r="F222">
        <f>E222*12</f>
        <v>14400</v>
      </c>
      <c r="G222">
        <f>E222*6</f>
        <v>7200</v>
      </c>
      <c r="H222" t="str">
        <v/>
      </c>
      <c r="I222">
        <f>E222*Assumptions!$B$4</f>
        <v>113340</v>
      </c>
      <c r="J222">
        <f>F222*Assumptions!$B$4</f>
        <v>1360080</v>
      </c>
      <c r="K222">
        <f>G222*Assumptions!$B$4</f>
        <v>680040</v>
      </c>
    </row>
    <row r="223">
      <c r="A223" t="str">
        <v>Utilities &amp; Stipend</v>
      </c>
      <c r="B223" t="str">
        <v>Month</v>
      </c>
      <c r="C223">
        <v>1</v>
      </c>
      <c r="D223">
        <v>300</v>
      </c>
      <c r="E223">
        <f>C223*D223</f>
        <v>300</v>
      </c>
      <c r="F223">
        <f>E223*12</f>
        <v>3600</v>
      </c>
      <c r="G223">
        <f>E223*6</f>
        <v>1800</v>
      </c>
      <c r="H223" t="str">
        <v/>
      </c>
      <c r="I223">
        <f>E223*Assumptions!$B$4</f>
        <v>28335</v>
      </c>
      <c r="J223">
        <f>F223*Assumptions!$B$4</f>
        <v>340020</v>
      </c>
      <c r="K223">
        <f>G223*Assumptions!$B$4</f>
        <v>170010</v>
      </c>
    </row>
    <row r="224">
      <c r="A224" t="str">
        <v>Team Subtotal</v>
      </c>
      <c r="B224" t="str">
        <v/>
      </c>
      <c r="C224" t="str">
        <v/>
      </c>
      <c r="D224" t="str">
        <v/>
      </c>
      <c r="E224">
        <f>SUM(E213:E223)</f>
        <v>49585.33615669667</v>
      </c>
      <c r="F224">
        <f>E224*12</f>
        <v>595024.0338803601</v>
      </c>
      <c r="G224">
        <f>E224*6</f>
        <v>297512.01694018004</v>
      </c>
      <c r="H224" t="str">
        <v/>
      </c>
      <c r="I224">
        <f>E224*Assumptions!$B$4</f>
        <v>4683335.000000001</v>
      </c>
      <c r="J224">
        <f>F224*Assumptions!$B$4</f>
        <v>56200020.00000001</v>
      </c>
      <c r="K224">
        <f>G224*Assumptions!$B$4</f>
        <v>28100010.000000004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</row>
    <row r="226">
      <c r="A226" t="str">
        <v>Customer Acquisition (CAC-based)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>New user acquisition (paid + organic, blended)</v>
      </c>
      <c r="B227" t="str">
        <v>New users/mo</v>
      </c>
      <c r="C227">
        <v>4167</v>
      </c>
      <c r="D227">
        <f>Assumptions!$B$26</f>
        <v>4</v>
      </c>
      <c r="E227">
        <f>C227*D227</f>
        <v>16668</v>
      </c>
      <c r="F227">
        <f>E227*12</f>
        <v>200016</v>
      </c>
      <c r="G227">
        <f>E227*6</f>
        <v>100008</v>
      </c>
      <c r="H227" t="str">
        <v>25,000 net-new users over Months 25-30 (25,000→50,000) ÷ 6mo = 4,167/mo net-new × Year 3 blended CAC ($4). Added 2026-09-08 -- previously the CAC stated in the Pitch Deck's unit-economics table was never charged against this cost model.</v>
      </c>
      <c r="I227">
        <f>E227*Assumptions!$B$4</f>
        <v>1574292.6</v>
      </c>
      <c r="J227">
        <f>F227*Assumptions!$B$4</f>
        <v>18891511.2</v>
      </c>
      <c r="K227">
        <f>G227*Assumptions!$B$4</f>
        <v>9445755.6</v>
      </c>
    </row>
    <row r="228">
      <c r="A228" t="str">
        <v>Customer Acquisition Subtotal</v>
      </c>
      <c r="B228" t="str">
        <v/>
      </c>
      <c r="C228" t="str">
        <v/>
      </c>
      <c r="D228" t="str">
        <v/>
      </c>
      <c r="E228">
        <f>SUM(E227:E227)</f>
        <v>16668</v>
      </c>
      <c r="F228">
        <f>E228*12</f>
        <v>200016</v>
      </c>
      <c r="G228">
        <f>E228*6</f>
        <v>100008</v>
      </c>
      <c r="H228" t="str">
        <v/>
      </c>
      <c r="I228">
        <f>E228*Assumptions!$B$4</f>
        <v>1574292.6</v>
      </c>
      <c r="J228">
        <f>F228*Assumptions!$B$4</f>
        <v>18891511.2</v>
      </c>
      <c r="K228">
        <f>G228*Assumptions!$B$4</f>
        <v>9445755.6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 t="str">
        <v>Operating Costs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</row>
    <row r="231">
      <c r="A231" t="str">
        <v>SaaS Tools (Jira, Slack, etc.)</v>
      </c>
      <c r="B231" t="str">
        <v>Month</v>
      </c>
      <c r="C231">
        <v>1</v>
      </c>
      <c r="D231">
        <v>300</v>
      </c>
      <c r="E231">
        <f>C231*D231</f>
        <v>300</v>
      </c>
      <c r="F231">
        <f>E231*12</f>
        <v>3600</v>
      </c>
      <c r="G231">
        <f>E231*6</f>
        <v>1800</v>
      </c>
      <c r="H231" t="str">
        <v/>
      </c>
      <c r="I231">
        <f>E231*Assumptions!$B$4</f>
        <v>28335</v>
      </c>
      <c r="J231">
        <f>F231*Assumptions!$B$4</f>
        <v>340020</v>
      </c>
      <c r="K231">
        <f>G231*Assumptions!$B$4</f>
        <v>170010</v>
      </c>
    </row>
    <row r="232">
      <c r="A232" t="str">
        <v>DevOps Tools (CI/CD, monitoring)</v>
      </c>
      <c r="B232" t="str">
        <v>Month</v>
      </c>
      <c r="C232">
        <v>1</v>
      </c>
      <c r="D232">
        <v>200</v>
      </c>
      <c r="E232">
        <f>C232*D232</f>
        <v>200</v>
      </c>
      <c r="F232">
        <f>E232*12</f>
        <v>2400</v>
      </c>
      <c r="G232">
        <f>E232*6</f>
        <v>1200</v>
      </c>
      <c r="H232" t="str">
        <v/>
      </c>
      <c r="I232">
        <f>E232*Assumptions!$B$4</f>
        <v>18890</v>
      </c>
      <c r="J232">
        <f>F232*Assumptions!$B$4</f>
        <v>226680</v>
      </c>
      <c r="K232">
        <f>G232*Assumptions!$B$4</f>
        <v>113340</v>
      </c>
    </row>
    <row r="233">
      <c r="A233" t="str">
        <v>Communication &amp; Collaboration</v>
      </c>
      <c r="B233" t="str">
        <v>Month</v>
      </c>
      <c r="C233">
        <v>1</v>
      </c>
      <c r="D233">
        <v>150</v>
      </c>
      <c r="E233">
        <f>C233*D233</f>
        <v>150</v>
      </c>
      <c r="F233">
        <f>E233*12</f>
        <v>1800</v>
      </c>
      <c r="G233">
        <f>E233*6</f>
        <v>900</v>
      </c>
      <c r="H233" t="str">
        <v/>
      </c>
      <c r="I233">
        <f>E233*Assumptions!$B$4</f>
        <v>14167.5</v>
      </c>
      <c r="J233">
        <f>F233*Assumptions!$B$4</f>
        <v>170010</v>
      </c>
      <c r="K233">
        <f>G233*Assumptions!$B$4</f>
        <v>85005</v>
      </c>
    </row>
    <row r="234">
      <c r="A234" t="str">
        <v>Professional Development</v>
      </c>
      <c r="B234" t="str">
        <v>Month</v>
      </c>
      <c r="C234">
        <v>1</v>
      </c>
      <c r="D234">
        <v>200</v>
      </c>
      <c r="E234">
        <f>C234*D234</f>
        <v>200</v>
      </c>
      <c r="F234">
        <f>E234*12</f>
        <v>2400</v>
      </c>
      <c r="G234">
        <f>E234*6</f>
        <v>1200</v>
      </c>
      <c r="H234" t="str">
        <v/>
      </c>
      <c r="I234">
        <f>E234*Assumptions!$B$4</f>
        <v>18890</v>
      </c>
      <c r="J234">
        <f>F234*Assumptions!$B$4</f>
        <v>226680</v>
      </c>
      <c r="K234">
        <f>G234*Assumptions!$B$4</f>
        <v>113340</v>
      </c>
    </row>
    <row r="235">
      <c r="A235" t="str">
        <v>Insurance &amp; Compliance</v>
      </c>
      <c r="B235" t="str">
        <v>Month</v>
      </c>
      <c r="C235">
        <v>1</v>
      </c>
      <c r="D235">
        <v>300</v>
      </c>
      <c r="E235">
        <f>C235*D235</f>
        <v>300</v>
      </c>
      <c r="F235">
        <f>E235*12</f>
        <v>3600</v>
      </c>
      <c r="G235">
        <f>E235*6</f>
        <v>1800</v>
      </c>
      <c r="H235" t="str">
        <v/>
      </c>
      <c r="I235">
        <f>E235*Assumptions!$B$4</f>
        <v>28335</v>
      </c>
      <c r="J235">
        <f>F235*Assumptions!$B$4</f>
        <v>340020</v>
      </c>
      <c r="K235">
        <f>G235*Assumptions!$B$4</f>
        <v>170010</v>
      </c>
    </row>
    <row r="236">
      <c r="A236" t="str">
        <v>Marketing &amp; Community</v>
      </c>
      <c r="B236" t="str">
        <v>Month</v>
      </c>
      <c r="C236">
        <v>1</v>
      </c>
      <c r="D236">
        <v>500</v>
      </c>
      <c r="E236">
        <f>C236*D236</f>
        <v>500</v>
      </c>
      <c r="F236">
        <f>E236*12</f>
        <v>6000</v>
      </c>
      <c r="G236">
        <f>E236*6</f>
        <v>3000</v>
      </c>
      <c r="H236" t="str">
        <v/>
      </c>
      <c r="I236">
        <f>E236*Assumptions!$B$4</f>
        <v>47225</v>
      </c>
      <c r="J236">
        <f>F236*Assumptions!$B$4</f>
        <v>566700</v>
      </c>
      <c r="K236">
        <f>G236*Assumptions!$B$4</f>
        <v>283350</v>
      </c>
    </row>
    <row r="237">
      <c r="A237" t="str">
        <v>Operating Subtotal</v>
      </c>
      <c r="B237" t="str">
        <v/>
      </c>
      <c r="C237" t="str">
        <v/>
      </c>
      <c r="D237" t="str">
        <v/>
      </c>
      <c r="E237">
        <f>SUM(E231:E236)</f>
        <v>1650</v>
      </c>
      <c r="F237">
        <f>E237*12</f>
        <v>19800</v>
      </c>
      <c r="G237">
        <f>E237*6</f>
        <v>9900</v>
      </c>
      <c r="H237" t="str">
        <v/>
      </c>
      <c r="I237">
        <f>E237*Assumptions!$B$4</f>
        <v>155842.5</v>
      </c>
      <c r="J237">
        <f>F237*Assumptions!$B$4</f>
        <v>1870110</v>
      </c>
      <c r="K237">
        <f>G237*Assumptions!$B$4</f>
        <v>935055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</row>
    <row r="239">
      <c r="A239" t="str">
        <v>TOTAL MONTHLY COST</v>
      </c>
      <c r="B239" t="str">
        <v/>
      </c>
      <c r="C239" t="str">
        <v/>
      </c>
      <c r="D239" t="str">
        <v/>
      </c>
      <c r="E239">
        <f>E210+E224+E228+E237</f>
        <v>78653.33615669666</v>
      </c>
      <c r="F239">
        <f>E239*12</f>
        <v>943840.03388036</v>
      </c>
      <c r="G239">
        <f>E239*6</f>
        <v>471920.01694018</v>
      </c>
      <c r="H239" t="str">
        <v/>
      </c>
      <c r="I239">
        <f>E239*Assumptions!$B$4</f>
        <v>7428807.6</v>
      </c>
      <c r="J239">
        <f>F239*Assumptions!$B$4</f>
        <v>89145691.2</v>
      </c>
      <c r="K239">
        <f>G239*Assumptions!$B$4</f>
        <v>44572845.6</v>
      </c>
    </row>
    <row r="240">
      <c r="A240" t="str">
        <v>Cost per User (Monthly)</v>
      </c>
      <c r="B240" t="str">
        <v/>
      </c>
      <c r="C240" t="str">
        <v/>
      </c>
      <c r="D240" t="str">
        <v/>
      </c>
      <c r="E240">
        <f>E239/50000</f>
        <v>1.5730667231339333</v>
      </c>
      <c r="F240" t="str">
        <v/>
      </c>
      <c r="G240" t="str">
        <v/>
      </c>
      <c r="H240" t="str">
        <v/>
      </c>
      <c r="I240">
        <f>E240*Assumptions!$B$4</f>
        <v>148.576152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</row>
    <row r="243">
      <c r="A243" t="str">
        <v>Month 36 — 100,000 Users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>
      <c r="A244" t="str">
        <v>Category</v>
      </c>
      <c r="B244" t="str">
        <v>Unit</v>
      </c>
      <c r="C244" t="str">
        <v>Quantity</v>
      </c>
      <c r="D244" t="str">
        <v>Unit Cost (USD)</v>
      </c>
      <c r="E244" t="str">
        <v>Monthly Cost (USD)</v>
      </c>
      <c r="F244" t="str">
        <v>Annual Cost (USD)</v>
      </c>
      <c r="G244" t="str">
        <v>6-Month Cost (USD)</v>
      </c>
      <c r="H244" t="str">
        <v>Notes</v>
      </c>
      <c r="I244" t="str">
        <v>Monthly Cost (INR)</v>
      </c>
      <c r="J244" t="str">
        <v>Annual Cost (INR)</v>
      </c>
      <c r="K244" t="str">
        <v>6-Month Cost (INR)</v>
      </c>
    </row>
    <row r="245">
      <c r="A245" t="str">
        <v>AWS Infrastructure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</row>
    <row r="246">
      <c r="A246" t="str">
        <v>compute</v>
      </c>
      <c r="B246" t="str">
        <v>Month</v>
      </c>
      <c r="C246">
        <v>1</v>
      </c>
      <c r="D246">
        <v>8000</v>
      </c>
      <c r="E246">
        <f>C246*D246</f>
        <v>8000</v>
      </c>
      <c r="F246">
        <f>E246*12</f>
        <v>96000</v>
      </c>
      <c r="G246">
        <f>E246*6</f>
        <v>48000</v>
      </c>
      <c r="H246" t="str">
        <v/>
      </c>
      <c r="I246">
        <f>E246*Assumptions!$B$4</f>
        <v>755600</v>
      </c>
      <c r="J246">
        <f>F246*Assumptions!$B$4</f>
        <v>9067200</v>
      </c>
      <c r="K246">
        <f>G246*Assumptions!$B$4</f>
        <v>4533600</v>
      </c>
    </row>
    <row r="247">
      <c r="A247" t="str">
        <v>database</v>
      </c>
      <c r="B247" t="str">
        <v>Month</v>
      </c>
      <c r="C247">
        <v>1</v>
      </c>
      <c r="D247">
        <v>5500</v>
      </c>
      <c r="E247">
        <f>C247*D247</f>
        <v>5500</v>
      </c>
      <c r="F247">
        <f>E247*12</f>
        <v>66000</v>
      </c>
      <c r="G247">
        <f>E247*6</f>
        <v>33000</v>
      </c>
      <c r="H247" t="str">
        <v/>
      </c>
      <c r="I247">
        <f>E247*Assumptions!$B$4</f>
        <v>519475</v>
      </c>
      <c r="J247">
        <f>F247*Assumptions!$B$4</f>
        <v>6233700</v>
      </c>
      <c r="K247">
        <f>G247*Assumptions!$B$4</f>
        <v>3116850</v>
      </c>
    </row>
    <row r="248">
      <c r="A248" t="str">
        <v>storage</v>
      </c>
      <c r="B248" t="str">
        <v>Month</v>
      </c>
      <c r="C248">
        <v>1</v>
      </c>
      <c r="D248">
        <v>1800</v>
      </c>
      <c r="E248">
        <f>C248*D248</f>
        <v>1800</v>
      </c>
      <c r="F248">
        <f>E248*12</f>
        <v>21600</v>
      </c>
      <c r="G248">
        <f>E248*6</f>
        <v>10800</v>
      </c>
      <c r="H248" t="str">
        <v/>
      </c>
      <c r="I248">
        <f>E248*Assumptions!$B$4</f>
        <v>170010</v>
      </c>
      <c r="J248">
        <f>F248*Assumptions!$B$4</f>
        <v>2040120</v>
      </c>
      <c r="K248">
        <f>G248*Assumptions!$B$4</f>
        <v>1020060</v>
      </c>
    </row>
    <row r="249">
      <c r="A249" t="str">
        <v>networking</v>
      </c>
      <c r="B249" t="str">
        <v>Month</v>
      </c>
      <c r="C249">
        <v>1</v>
      </c>
      <c r="D249">
        <v>1000</v>
      </c>
      <c r="E249">
        <f>C249*D249</f>
        <v>1000</v>
      </c>
      <c r="F249">
        <f>E249*12</f>
        <v>12000</v>
      </c>
      <c r="G249">
        <f>E249*6</f>
        <v>6000</v>
      </c>
      <c r="H249" t="str">
        <v/>
      </c>
      <c r="I249">
        <f>E249*Assumptions!$B$4</f>
        <v>94450</v>
      </c>
      <c r="J249">
        <f>F249*Assumptions!$B$4</f>
        <v>1133400</v>
      </c>
      <c r="K249">
        <f>G249*Assumptions!$B$4</f>
        <v>566700</v>
      </c>
    </row>
    <row r="250">
      <c r="A250" t="str">
        <v>data_transfer</v>
      </c>
      <c r="B250" t="str">
        <v>Month</v>
      </c>
      <c r="C250">
        <v>1</v>
      </c>
      <c r="D250">
        <v>1200</v>
      </c>
      <c r="E250">
        <f>C250*D250</f>
        <v>1200</v>
      </c>
      <c r="F250">
        <f>E250*12</f>
        <v>14400</v>
      </c>
      <c r="G250">
        <f>E250*6</f>
        <v>7200</v>
      </c>
      <c r="H250" t="str">
        <v/>
      </c>
      <c r="I250">
        <f>E250*Assumptions!$B$4</f>
        <v>113340</v>
      </c>
      <c r="J250">
        <f>F250*Assumptions!$B$4</f>
        <v>1360080</v>
      </c>
      <c r="K250">
        <f>G250*Assumptions!$B$4</f>
        <v>680040</v>
      </c>
    </row>
    <row r="251">
      <c r="A251" t="str">
        <v>monitoring</v>
      </c>
      <c r="B251" t="str">
        <v>Month</v>
      </c>
      <c r="C251">
        <v>1</v>
      </c>
      <c r="D251">
        <v>400</v>
      </c>
      <c r="E251">
        <f>C251*D251</f>
        <v>400</v>
      </c>
      <c r="F251">
        <f>E251*12</f>
        <v>4800</v>
      </c>
      <c r="G251">
        <f>E251*6</f>
        <v>2400</v>
      </c>
      <c r="H251" t="str">
        <v/>
      </c>
      <c r="I251">
        <f>E251*Assumptions!$B$4</f>
        <v>37780</v>
      </c>
      <c r="J251">
        <f>F251*Assumptions!$B$4</f>
        <v>453360</v>
      </c>
      <c r="K251">
        <f>G251*Assumptions!$B$4</f>
        <v>226680</v>
      </c>
    </row>
    <row r="252">
      <c r="A252" t="str">
        <v>backups</v>
      </c>
      <c r="B252" t="str">
        <v>Month</v>
      </c>
      <c r="C252">
        <v>1</v>
      </c>
      <c r="D252">
        <v>600</v>
      </c>
      <c r="E252">
        <f>C252*D252</f>
        <v>600</v>
      </c>
      <c r="F252">
        <f>E252*12</f>
        <v>7200</v>
      </c>
      <c r="G252">
        <f>E252*6</f>
        <v>3600</v>
      </c>
      <c r="H252" t="str">
        <v/>
      </c>
      <c r="I252">
        <f>E252*Assumptions!$B$4</f>
        <v>56670</v>
      </c>
      <c r="J252">
        <f>F252*Assumptions!$B$4</f>
        <v>680040</v>
      </c>
      <c r="K252">
        <f>G252*Assumptions!$B$4</f>
        <v>340020</v>
      </c>
    </row>
    <row r="253">
      <c r="A253" t="str">
        <v>AWS Subtotal</v>
      </c>
      <c r="B253" t="str">
        <v/>
      </c>
      <c r="C253" t="str">
        <v/>
      </c>
      <c r="D253" t="str">
        <v/>
      </c>
      <c r="E253">
        <f>SUM(E246:E252)</f>
        <v>18500</v>
      </c>
      <c r="F253">
        <f>E253*12</f>
        <v>222000</v>
      </c>
      <c r="G253">
        <f>E253*6</f>
        <v>111000</v>
      </c>
      <c r="H253" t="str">
        <v/>
      </c>
      <c r="I253">
        <f>E253*Assumptions!$B$4</f>
        <v>1747325</v>
      </c>
      <c r="J253">
        <f>F253*Assumptions!$B$4</f>
        <v>20967900</v>
      </c>
      <c r="K253">
        <f>G253*Assumptions!$B$4</f>
        <v>10483950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</row>
    <row r="255">
      <c r="A255" t="str">
        <v>Engineering Team (India-based)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>Senior Dev</v>
      </c>
      <c r="B256" t="str">
        <v>Person</v>
      </c>
      <c r="C256">
        <v>5</v>
      </c>
      <c r="D256">
        <f>Assumptions!$B$11/Assumptions!$B$4</f>
        <v>3529.2006352567496</v>
      </c>
      <c r="E256">
        <f>C256*D256</f>
        <v>17646.003176283746</v>
      </c>
      <c r="F256">
        <f>E256*12</f>
        <v>211752.03811540495</v>
      </c>
      <c r="G256">
        <f>E256*6</f>
        <v>105876.01905770248</v>
      </c>
      <c r="H256" t="str">
        <v/>
      </c>
      <c r="I256">
        <f>E256*Assumptions!$B$4</f>
        <v>1666664.9999999998</v>
      </c>
      <c r="J256">
        <f>F256*Assumptions!$B$4</f>
        <v>19999980</v>
      </c>
      <c r="K256">
        <f>G256*Assumptions!$B$4</f>
        <v>9999990</v>
      </c>
    </row>
    <row r="257">
      <c r="A257" t="str">
        <v>Mid-level Dev</v>
      </c>
      <c r="B257" t="str">
        <v>Person</v>
      </c>
      <c r="C257">
        <v>7</v>
      </c>
      <c r="D257">
        <f>Assumptions!$B$10/Assumptions!$B$4</f>
        <v>1941.0587612493382</v>
      </c>
      <c r="E257">
        <f>C257*D257</f>
        <v>13587.411328745367</v>
      </c>
      <c r="F257">
        <f>E257*12</f>
        <v>163048.93594494442</v>
      </c>
      <c r="G257">
        <f>E257*6</f>
        <v>81524.46797247221</v>
      </c>
      <c r="H257" t="str">
        <v/>
      </c>
      <c r="I257">
        <f>E257*Assumptions!$B$4</f>
        <v>1283331</v>
      </c>
      <c r="J257">
        <f>F257*Assumptions!$B$4</f>
        <v>15399972</v>
      </c>
      <c r="K257">
        <f>G257*Assumptions!$B$4</f>
        <v>7699986</v>
      </c>
    </row>
    <row r="258">
      <c r="A258" t="str">
        <v>Junior Dev</v>
      </c>
      <c r="B258" t="str">
        <v>Person</v>
      </c>
      <c r="C258">
        <v>5</v>
      </c>
      <c r="D258">
        <f>Assumptions!$B$9/Assumptions!$B$4</f>
        <v>882.297511911064</v>
      </c>
      <c r="E258">
        <f>C258*D258</f>
        <v>4411.48755955532</v>
      </c>
      <c r="F258">
        <f>E258*12</f>
        <v>52937.850714663844</v>
      </c>
      <c r="G258">
        <f>E258*6</f>
        <v>26468.925357331922</v>
      </c>
      <c r="H258" t="str">
        <v/>
      </c>
      <c r="I258">
        <f>E258*Assumptions!$B$4</f>
        <v>416665</v>
      </c>
      <c r="J258">
        <f>F258*Assumptions!$B$4</f>
        <v>4999980</v>
      </c>
      <c r="K258">
        <f>G258*Assumptions!$B$4</f>
        <v>2499990</v>
      </c>
    </row>
    <row r="259">
      <c r="A259" t="str">
        <v>DevOps</v>
      </c>
      <c r="B259" t="str">
        <v>Person</v>
      </c>
      <c r="C259">
        <v>3</v>
      </c>
      <c r="D259">
        <f>Assumptions!$B$13/Assumptions!$B$4</f>
        <v>1941.0587612493382</v>
      </c>
      <c r="E259">
        <f>C259*D259</f>
        <v>5823.176283748015</v>
      </c>
      <c r="F259">
        <f>E259*12</f>
        <v>69878.11540497618</v>
      </c>
      <c r="G259">
        <f>E259*6</f>
        <v>34939.05770248809</v>
      </c>
      <c r="H259" t="str">
        <v/>
      </c>
      <c r="I259">
        <f>E259*Assumptions!$B$4</f>
        <v>549999</v>
      </c>
      <c r="J259">
        <f>F259*Assumptions!$B$4</f>
        <v>6599988.000000001</v>
      </c>
      <c r="K259">
        <f>G259*Assumptions!$B$4</f>
        <v>3299994.0000000005</v>
      </c>
    </row>
    <row r="260">
      <c r="A260" t="str">
        <v>QA</v>
      </c>
      <c r="B260" t="str">
        <v>Person</v>
      </c>
      <c r="C260">
        <v>4</v>
      </c>
      <c r="D260">
        <f>Assumptions!$B$14/Assumptions!$B$4</f>
        <v>1058.7612493382742</v>
      </c>
      <c r="E260">
        <f>C260*D260</f>
        <v>4235.044997353097</v>
      </c>
      <c r="F260">
        <f>E260*12</f>
        <v>50820.539968237164</v>
      </c>
      <c r="G260">
        <f>E260*6</f>
        <v>25410.269984118582</v>
      </c>
      <c r="H260" t="str">
        <v/>
      </c>
      <c r="I260">
        <f>E260*Assumptions!$B$4</f>
        <v>400000</v>
      </c>
      <c r="J260">
        <f>F260*Assumptions!$B$4</f>
        <v>4800000</v>
      </c>
      <c r="K260">
        <f>G260*Assumptions!$B$4</f>
        <v>2400000</v>
      </c>
    </row>
    <row r="261">
      <c r="A261" t="str">
        <v>Product Manager</v>
      </c>
      <c r="B261" t="str">
        <v>Person</v>
      </c>
      <c r="C261">
        <v>2</v>
      </c>
      <c r="D261">
        <f>Assumptions!$B$15/Assumptions!$B$4</f>
        <v>2470.439385918475</v>
      </c>
      <c r="E261">
        <f>C261*D261</f>
        <v>4940.87877183695</v>
      </c>
      <c r="F261">
        <f>E261*12</f>
        <v>59290.54526204341</v>
      </c>
      <c r="G261">
        <f>E261*6</f>
        <v>29645.272631021704</v>
      </c>
      <c r="H261" t="str">
        <v/>
      </c>
      <c r="I261">
        <f>E261*Assumptions!$B$4</f>
        <v>466666</v>
      </c>
      <c r="J261">
        <f>F261*Assumptions!$B$4</f>
        <v>5599992</v>
      </c>
      <c r="K261">
        <f>G261*Assumptions!$B$4</f>
        <v>2799996</v>
      </c>
    </row>
    <row r="262">
      <c r="A262" t="str">
        <v>Designer</v>
      </c>
      <c r="B262" t="str">
        <v>Person</v>
      </c>
      <c r="C262">
        <v>3</v>
      </c>
      <c r="D262">
        <f>Assumptions!$B$16/Assumptions!$B$4</f>
        <v>1411.6781365802012</v>
      </c>
      <c r="E262">
        <f>C262*D262</f>
        <v>4235.034409740603</v>
      </c>
      <c r="F262">
        <f>E262*12</f>
        <v>50820.41291688724</v>
      </c>
      <c r="G262">
        <f>E262*6</f>
        <v>25410.20645844362</v>
      </c>
      <c r="H262" t="str">
        <v/>
      </c>
      <c r="I262">
        <f>E262*Assumptions!$B$4</f>
        <v>399999</v>
      </c>
      <c r="J262">
        <f>F262*Assumptions!$B$4</f>
        <v>4799988</v>
      </c>
      <c r="K262">
        <f>G262*Assumptions!$B$4</f>
        <v>2399994</v>
      </c>
    </row>
    <row r="263">
      <c r="A263" t="str">
        <v>Tech Lead</v>
      </c>
      <c r="B263" t="str">
        <v>Person</v>
      </c>
      <c r="C263">
        <v>2</v>
      </c>
      <c r="D263">
        <f>Assumptions!$B$12/Assumptions!$B$4</f>
        <v>4852.652196929592</v>
      </c>
      <c r="E263">
        <f>C263*D263</f>
        <v>9705.304393859184</v>
      </c>
      <c r="F263">
        <f>E263*12</f>
        <v>116463.6527263102</v>
      </c>
      <c r="G263">
        <f>E263*6</f>
        <v>58231.8263631551</v>
      </c>
      <c r="H263" t="str">
        <v/>
      </c>
      <c r="I263">
        <f>E263*Assumptions!$B$4</f>
        <v>916665.9999999999</v>
      </c>
      <c r="J263">
        <f>F263*Assumptions!$B$4</f>
        <v>10999991.999999998</v>
      </c>
      <c r="K263">
        <f>G263*Assumptions!$B$4</f>
        <v>5499995.999999999</v>
      </c>
    </row>
    <row r="264">
      <c r="A264" t="str">
        <v>Support</v>
      </c>
      <c r="B264" t="str">
        <v>Person</v>
      </c>
      <c r="C264">
        <v>3</v>
      </c>
      <c r="D264">
        <f>Assumptions!$B$17/Assumptions!$B$4</f>
        <v>529.3806246691371</v>
      </c>
      <c r="E264">
        <f>C264*D264</f>
        <v>1588.1418740074114</v>
      </c>
      <c r="F264">
        <f>E264*12</f>
        <v>19057.702488088937</v>
      </c>
      <c r="G264">
        <f>E264*6</f>
        <v>9528.851244044468</v>
      </c>
      <c r="H264" t="str">
        <v/>
      </c>
      <c r="I264">
        <f>E264*Assumptions!$B$4</f>
        <v>150000</v>
      </c>
      <c r="J264">
        <f>F264*Assumptions!$B$4</f>
        <v>1800000.0000000002</v>
      </c>
      <c r="K264">
        <f>G264*Assumptions!$B$4</f>
        <v>900000.0000000001</v>
      </c>
    </row>
    <row r="265">
      <c r="A265" t="str">
        <v>Data Analyst</v>
      </c>
      <c r="B265" t="str">
        <v>Person</v>
      </c>
      <c r="C265">
        <v>1</v>
      </c>
      <c r="D265">
        <f>Assumptions!$B$18/Assumptions!$B$4</f>
        <v>1235.2249867654843</v>
      </c>
      <c r="E265">
        <f>C265*D265</f>
        <v>1235.2249867654843</v>
      </c>
      <c r="F265">
        <f>E265*12</f>
        <v>14822.699841185811</v>
      </c>
      <c r="G265">
        <f>E265*6</f>
        <v>7411.349920592906</v>
      </c>
      <c r="H265" t="str">
        <v/>
      </c>
      <c r="I265">
        <f>E265*Assumptions!$B$4</f>
        <v>116667</v>
      </c>
      <c r="J265">
        <f>F265*Assumptions!$B$4</f>
        <v>1400004</v>
      </c>
      <c r="K265">
        <f>G265*Assumptions!$B$4</f>
        <v>700002</v>
      </c>
    </row>
    <row r="266">
      <c r="A266" t="str">
        <v>Shared Flex Office (2-3 days/week)</v>
      </c>
      <c r="B266" t="str">
        <v>Month</v>
      </c>
      <c r="C266">
        <v>1</v>
      </c>
      <c r="D266">
        <v>1200</v>
      </c>
      <c r="E266">
        <f>C266*D266</f>
        <v>1200</v>
      </c>
      <c r="F266">
        <f>E266*12</f>
        <v>14400</v>
      </c>
      <c r="G266">
        <f>E266*6</f>
        <v>7200</v>
      </c>
      <c r="H266" t="str">
        <v/>
      </c>
      <c r="I266">
        <f>E266*Assumptions!$B$4</f>
        <v>113340</v>
      </c>
      <c r="J266">
        <f>F266*Assumptions!$B$4</f>
        <v>1360080</v>
      </c>
      <c r="K266">
        <f>G266*Assumptions!$B$4</f>
        <v>680040</v>
      </c>
    </row>
    <row r="267">
      <c r="A267" t="str">
        <v>Utilities &amp; Stipend</v>
      </c>
      <c r="B267" t="str">
        <v>Month</v>
      </c>
      <c r="C267">
        <v>1</v>
      </c>
      <c r="D267">
        <v>300</v>
      </c>
      <c r="E267">
        <f>C267*D267</f>
        <v>300</v>
      </c>
      <c r="F267">
        <f>E267*12</f>
        <v>3600</v>
      </c>
      <c r="G267">
        <f>E267*6</f>
        <v>1800</v>
      </c>
      <c r="H267" t="str">
        <v/>
      </c>
      <c r="I267">
        <f>E267*Assumptions!$B$4</f>
        <v>28335</v>
      </c>
      <c r="J267">
        <f>F267*Assumptions!$B$4</f>
        <v>340020</v>
      </c>
      <c r="K267">
        <f>G267*Assumptions!$B$4</f>
        <v>170010</v>
      </c>
    </row>
    <row r="268">
      <c r="A268" t="str">
        <v>Team Subtotal</v>
      </c>
      <c r="B268" t="str">
        <v/>
      </c>
      <c r="C268" t="str">
        <v/>
      </c>
      <c r="D268" t="str">
        <v/>
      </c>
      <c r="E268">
        <f>SUM(E256:E267)</f>
        <v>68907.70778189518</v>
      </c>
      <c r="F268">
        <f>E268*12</f>
        <v>826892.4933827422</v>
      </c>
      <c r="G268">
        <f>E268*6</f>
        <v>413446.2466913711</v>
      </c>
      <c r="H268" t="str">
        <v/>
      </c>
      <c r="I268">
        <f>E268*Assumptions!$B$4</f>
        <v>6508333</v>
      </c>
      <c r="J268">
        <f>F268*Assumptions!$B$4</f>
        <v>78099996</v>
      </c>
      <c r="K268">
        <f>G268*Assumptions!$B$4</f>
        <v>39049998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</row>
    <row r="270">
      <c r="A270" t="str">
        <v>Customer Acquisition (CAC-based)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</row>
    <row r="271">
      <c r="A271" t="str">
        <v>New user acquisition (paid + organic, blended)</v>
      </c>
      <c r="B271" t="str">
        <v>New users/mo</v>
      </c>
      <c r="C271">
        <v>8333</v>
      </c>
      <c r="D271">
        <f>Assumptions!$B$26</f>
        <v>4</v>
      </c>
      <c r="E271">
        <f>C271*D271</f>
        <v>33332</v>
      </c>
      <c r="F271">
        <f>E271*12</f>
        <v>399984</v>
      </c>
      <c r="G271">
        <f>E271*6</f>
        <v>199992</v>
      </c>
      <c r="H271" t="str">
        <v>50,000 net-new users over Months 31-36 (50,000→100,000) ÷ 6mo = 8,333/mo net-new × Year 3 blended CAC ($4). Added 2026-09-08 -- previously the CAC stated in the Pitch Deck's unit-economics table was never charged against this cost model.</v>
      </c>
      <c r="I271">
        <f>E271*Assumptions!$B$4</f>
        <v>3148207.4</v>
      </c>
      <c r="J271">
        <f>F271*Assumptions!$B$4</f>
        <v>37778488.800000004</v>
      </c>
      <c r="K271">
        <f>G271*Assumptions!$B$4</f>
        <v>18889244.400000002</v>
      </c>
    </row>
    <row r="272">
      <c r="A272" t="str">
        <v>Customer Acquisition Subtotal</v>
      </c>
      <c r="B272" t="str">
        <v/>
      </c>
      <c r="C272" t="str">
        <v/>
      </c>
      <c r="D272" t="str">
        <v/>
      </c>
      <c r="E272">
        <f>SUM(E271:E271)</f>
        <v>33332</v>
      </c>
      <c r="F272">
        <f>E272*12</f>
        <v>399984</v>
      </c>
      <c r="G272">
        <f>E272*6</f>
        <v>199992</v>
      </c>
      <c r="H272" t="str">
        <v/>
      </c>
      <c r="I272">
        <f>E272*Assumptions!$B$4</f>
        <v>3148207.4</v>
      </c>
      <c r="J272">
        <f>F272*Assumptions!$B$4</f>
        <v>37778488.800000004</v>
      </c>
      <c r="K272">
        <f>G272*Assumptions!$B$4</f>
        <v>18889244.400000002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</row>
    <row r="274">
      <c r="A274" t="str">
        <v>Operating Costs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</row>
    <row r="275">
      <c r="A275" t="str">
        <v>SaaS Tools (Jira, Slack, etc.)</v>
      </c>
      <c r="B275" t="str">
        <v>Month</v>
      </c>
      <c r="C275">
        <v>1</v>
      </c>
      <c r="D275">
        <v>300</v>
      </c>
      <c r="E275">
        <f>C275*D275</f>
        <v>300</v>
      </c>
      <c r="F275">
        <f>E275*12</f>
        <v>3600</v>
      </c>
      <c r="G275">
        <f>E275*6</f>
        <v>1800</v>
      </c>
      <c r="H275" t="str">
        <v/>
      </c>
      <c r="I275">
        <f>E275*Assumptions!$B$4</f>
        <v>28335</v>
      </c>
      <c r="J275">
        <f>F275*Assumptions!$B$4</f>
        <v>340020</v>
      </c>
      <c r="K275">
        <f>G275*Assumptions!$B$4</f>
        <v>170010</v>
      </c>
    </row>
    <row r="276">
      <c r="A276" t="str">
        <v>DevOps Tools (CI/CD, monitoring)</v>
      </c>
      <c r="B276" t="str">
        <v>Month</v>
      </c>
      <c r="C276">
        <v>1</v>
      </c>
      <c r="D276">
        <v>200</v>
      </c>
      <c r="E276">
        <f>C276*D276</f>
        <v>200</v>
      </c>
      <c r="F276">
        <f>E276*12</f>
        <v>2400</v>
      </c>
      <c r="G276">
        <f>E276*6</f>
        <v>1200</v>
      </c>
      <c r="H276" t="str">
        <v/>
      </c>
      <c r="I276">
        <f>E276*Assumptions!$B$4</f>
        <v>18890</v>
      </c>
      <c r="J276">
        <f>F276*Assumptions!$B$4</f>
        <v>226680</v>
      </c>
      <c r="K276">
        <f>G276*Assumptions!$B$4</f>
        <v>113340</v>
      </c>
    </row>
    <row r="277">
      <c r="A277" t="str">
        <v>Communication &amp; Collaboration</v>
      </c>
      <c r="B277" t="str">
        <v>Month</v>
      </c>
      <c r="C277">
        <v>1</v>
      </c>
      <c r="D277">
        <v>150</v>
      </c>
      <c r="E277">
        <f>C277*D277</f>
        <v>150</v>
      </c>
      <c r="F277">
        <f>E277*12</f>
        <v>1800</v>
      </c>
      <c r="G277">
        <f>E277*6</f>
        <v>900</v>
      </c>
      <c r="H277" t="str">
        <v/>
      </c>
      <c r="I277">
        <f>E277*Assumptions!$B$4</f>
        <v>14167.5</v>
      </c>
      <c r="J277">
        <f>F277*Assumptions!$B$4</f>
        <v>170010</v>
      </c>
      <c r="K277">
        <f>G277*Assumptions!$B$4</f>
        <v>85005</v>
      </c>
    </row>
    <row r="278">
      <c r="A278" t="str">
        <v>Professional Development</v>
      </c>
      <c r="B278" t="str">
        <v>Month</v>
      </c>
      <c r="C278">
        <v>1</v>
      </c>
      <c r="D278">
        <v>200</v>
      </c>
      <c r="E278">
        <f>C278*D278</f>
        <v>200</v>
      </c>
      <c r="F278">
        <f>E278*12</f>
        <v>2400</v>
      </c>
      <c r="G278">
        <f>E278*6</f>
        <v>1200</v>
      </c>
      <c r="H278" t="str">
        <v/>
      </c>
      <c r="I278">
        <f>E278*Assumptions!$B$4</f>
        <v>18890</v>
      </c>
      <c r="J278">
        <f>F278*Assumptions!$B$4</f>
        <v>226680</v>
      </c>
      <c r="K278">
        <f>G278*Assumptions!$B$4</f>
        <v>113340</v>
      </c>
    </row>
    <row r="279">
      <c r="A279" t="str">
        <v>Insurance &amp; Compliance</v>
      </c>
      <c r="B279" t="str">
        <v>Month</v>
      </c>
      <c r="C279">
        <v>1</v>
      </c>
      <c r="D279">
        <v>300</v>
      </c>
      <c r="E279">
        <f>C279*D279</f>
        <v>300</v>
      </c>
      <c r="F279">
        <f>E279*12</f>
        <v>3600</v>
      </c>
      <c r="G279">
        <f>E279*6</f>
        <v>1800</v>
      </c>
      <c r="H279" t="str">
        <v/>
      </c>
      <c r="I279">
        <f>E279*Assumptions!$B$4</f>
        <v>28335</v>
      </c>
      <c r="J279">
        <f>F279*Assumptions!$B$4</f>
        <v>340020</v>
      </c>
      <c r="K279">
        <f>G279*Assumptions!$B$4</f>
        <v>170010</v>
      </c>
    </row>
    <row r="280">
      <c r="A280" t="str">
        <v>Marketing &amp; Community</v>
      </c>
      <c r="B280" t="str">
        <v>Month</v>
      </c>
      <c r="C280">
        <v>1</v>
      </c>
      <c r="D280">
        <v>500</v>
      </c>
      <c r="E280">
        <f>C280*D280</f>
        <v>500</v>
      </c>
      <c r="F280">
        <f>E280*12</f>
        <v>6000</v>
      </c>
      <c r="G280">
        <f>E280*6</f>
        <v>3000</v>
      </c>
      <c r="H280" t="str">
        <v/>
      </c>
      <c r="I280">
        <f>E280*Assumptions!$B$4</f>
        <v>47225</v>
      </c>
      <c r="J280">
        <f>F280*Assumptions!$B$4</f>
        <v>566700</v>
      </c>
      <c r="K280">
        <f>G280*Assumptions!$B$4</f>
        <v>283350</v>
      </c>
    </row>
    <row r="281">
      <c r="A281" t="str">
        <v>Operating Subtotal</v>
      </c>
      <c r="B281" t="str">
        <v/>
      </c>
      <c r="C281" t="str">
        <v/>
      </c>
      <c r="D281" t="str">
        <v/>
      </c>
      <c r="E281">
        <f>SUM(E275:E280)</f>
        <v>1650</v>
      </c>
      <c r="F281">
        <f>E281*12</f>
        <v>19800</v>
      </c>
      <c r="G281">
        <f>E281*6</f>
        <v>9900</v>
      </c>
      <c r="H281" t="str">
        <v/>
      </c>
      <c r="I281">
        <f>E281*Assumptions!$B$4</f>
        <v>155842.5</v>
      </c>
      <c r="J281">
        <f>F281*Assumptions!$B$4</f>
        <v>1870110</v>
      </c>
      <c r="K281">
        <f>G281*Assumptions!$B$4</f>
        <v>935055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</row>
    <row r="283">
      <c r="A283" t="str">
        <v>TOTAL MONTHLY COST</v>
      </c>
      <c r="B283" t="str">
        <v/>
      </c>
      <c r="C283" t="str">
        <v/>
      </c>
      <c r="D283" t="str">
        <v/>
      </c>
      <c r="E283">
        <f>E253+E268+E272+E281</f>
        <v>122389.70778189518</v>
      </c>
      <c r="F283">
        <f>E283*12</f>
        <v>1468676.4933827422</v>
      </c>
      <c r="G283">
        <f>E283*6</f>
        <v>734338.2466913711</v>
      </c>
      <c r="H283" t="str">
        <v/>
      </c>
      <c r="I283">
        <f>E283*Assumptions!$B$4</f>
        <v>11559707.9</v>
      </c>
      <c r="J283">
        <f>F283*Assumptions!$B$4</f>
        <v>138716494.8</v>
      </c>
      <c r="K283">
        <f>G283*Assumptions!$B$4</f>
        <v>69358247.4</v>
      </c>
    </row>
    <row r="284">
      <c r="A284" t="str">
        <v>Cost per User (Monthly)</v>
      </c>
      <c r="B284" t="str">
        <v/>
      </c>
      <c r="C284" t="str">
        <v/>
      </c>
      <c r="D284" t="str">
        <v/>
      </c>
      <c r="E284">
        <f>E283/100000</f>
        <v>1.2238970778189517</v>
      </c>
      <c r="F284" t="str">
        <v/>
      </c>
      <c r="G284" t="str">
        <v/>
      </c>
      <c r="H284" t="str">
        <v/>
      </c>
      <c r="I284">
        <f>E284*Assumptions!$B$4</f>
        <v>115.597079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</row>
  </sheetData>
  <ignoredErrors>
    <ignoredError numberStoredAsText="1" sqref="A1:K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</vt:lpstr>
      <vt:lpstr>Budget - On-site</vt:lpstr>
      <vt:lpstr>Budget - Remote</vt:lpstr>
      <vt:lpstr>Budget - Hybrid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